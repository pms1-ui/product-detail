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공유 드라이브\Childy\05. 상품운영 MD\MD팀_공유폴더\PB 관리자료\채널별\카카오톡스토어\2026\0806\"/>
    </mc:Choice>
  </mc:AlternateContent>
  <xr:revisionPtr revIDLastSave="0" documentId="13_ncr:1_{F6782560-8622-47C8-8562-411190863887}" xr6:coauthVersionLast="47" xr6:coauthVersionMax="47" xr10:uidLastSave="{00000000-0000-0000-0000-000000000000}"/>
  <bookViews>
    <workbookView xWindow="-120" yWindow="-120" windowWidth="29040" windowHeight="15720" activeTab="1" xr2:uid="{BAE745E7-F4D7-46BA-A33C-0DC9368B0BAA}"/>
  </bookViews>
  <sheets>
    <sheet name="요청사항" sheetId="1" r:id="rId1"/>
    <sheet name="상품구성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2" hidden="1">Sheet3!$B$1:$E$71</definedName>
    <definedName name="_xlnm._FilterDatabase" localSheetId="3" hidden="1">Sheet4!$F$1:$G$16</definedName>
    <definedName name="_xlnm._FilterDatabase" localSheetId="1" hidden="1">상품구성!$B$19:$J$239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8" i="2" l="1"/>
  <c r="J227" i="2"/>
  <c r="J226" i="2"/>
  <c r="J225" i="2"/>
  <c r="J224" i="2"/>
  <c r="J223" i="2"/>
  <c r="J222" i="2"/>
  <c r="J221" i="2"/>
  <c r="J220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239" i="2"/>
  <c r="J238" i="2"/>
  <c r="J237" i="2"/>
  <c r="J236" i="2"/>
  <c r="J235" i="2"/>
  <c r="J234" i="2"/>
  <c r="J233" i="2"/>
  <c r="J232" i="2"/>
  <c r="J231" i="2"/>
  <c r="J230" i="2"/>
  <c r="J229" i="2"/>
  <c r="J195" i="2"/>
  <c r="J194" i="2"/>
  <c r="J147" i="2"/>
  <c r="J146" i="2"/>
  <c r="J145" i="2"/>
  <c r="J144" i="2"/>
  <c r="J143" i="2"/>
  <c r="J142" i="2"/>
  <c r="J141" i="2"/>
  <c r="J140" i="2"/>
  <c r="J137" i="2"/>
  <c r="J136" i="2"/>
  <c r="J135" i="2"/>
  <c r="J134" i="2"/>
  <c r="J133" i="2"/>
  <c r="J139" i="2"/>
  <c r="J138" i="2"/>
  <c r="J132" i="2"/>
  <c r="J131" i="2"/>
  <c r="J13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68" i="2"/>
  <c r="J67" i="2"/>
  <c r="J66" i="2"/>
  <c r="J65" i="2"/>
  <c r="J64" i="2"/>
  <c r="J63" i="2"/>
  <c r="J62" i="2"/>
  <c r="J82" i="2"/>
  <c r="J81" i="2"/>
  <c r="J80" i="2"/>
  <c r="J79" i="2"/>
  <c r="J78" i="2"/>
  <c r="J77" i="2"/>
  <c r="J76" i="2"/>
  <c r="J75" i="2"/>
  <c r="J74" i="2"/>
  <c r="J73" i="2"/>
  <c r="J72" i="2"/>
  <c r="J29" i="2"/>
  <c r="J28" i="2"/>
  <c r="J27" i="2"/>
  <c r="J26" i="2"/>
  <c r="J25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71" i="2"/>
  <c r="J70" i="2"/>
  <c r="J69" i="2"/>
  <c r="J24" i="2"/>
  <c r="J23" i="2"/>
  <c r="J22" i="2"/>
  <c r="J21" i="2"/>
  <c r="J20" i="2"/>
  <c r="C2" i="3"/>
  <c r="F2" i="3" s="1"/>
  <c r="C3" i="3"/>
  <c r="F3" i="3" s="1"/>
  <c r="C4" i="3"/>
  <c r="F4" i="3" s="1"/>
  <c r="C5" i="3"/>
  <c r="F5" i="3" s="1"/>
  <c r="C6" i="3"/>
  <c r="F6" i="3" s="1"/>
  <c r="C7" i="3"/>
  <c r="F7" i="3" s="1"/>
  <c r="C8" i="3"/>
  <c r="F8" i="3" s="1"/>
  <c r="C9" i="3"/>
  <c r="F9" i="3" s="1"/>
  <c r="C10" i="3"/>
  <c r="F10" i="3" s="1"/>
  <c r="C11" i="3"/>
  <c r="F11" i="3" s="1"/>
  <c r="C12" i="3"/>
  <c r="F12" i="3" s="1"/>
  <c r="C13" i="3"/>
  <c r="F13" i="3" s="1"/>
  <c r="C14" i="3"/>
  <c r="F14" i="3" s="1"/>
  <c r="C15" i="3"/>
  <c r="F15" i="3" s="1"/>
  <c r="C23" i="3"/>
  <c r="F23" i="3" s="1"/>
  <c r="C24" i="3"/>
  <c r="F24" i="3" s="1"/>
  <c r="C25" i="3"/>
  <c r="F25" i="3" s="1"/>
  <c r="C20" i="3"/>
  <c r="F20" i="3" s="1"/>
  <c r="C21" i="3"/>
  <c r="F21" i="3" s="1"/>
  <c r="C22" i="3"/>
  <c r="F22" i="3" s="1"/>
  <c r="C53" i="3"/>
  <c r="F53" i="3" s="1"/>
  <c r="C54" i="3"/>
  <c r="F54" i="3" s="1"/>
  <c r="C55" i="3"/>
  <c r="F55" i="3" s="1"/>
  <c r="C56" i="3"/>
  <c r="F56" i="3" s="1"/>
  <c r="C57" i="3"/>
  <c r="F57" i="3" s="1"/>
  <c r="C58" i="3"/>
  <c r="F58" i="3" s="1"/>
  <c r="C59" i="3"/>
  <c r="F59" i="3" s="1"/>
  <c r="C60" i="3"/>
  <c r="F60" i="3" s="1"/>
  <c r="C61" i="3"/>
  <c r="F61" i="3" s="1"/>
  <c r="C62" i="3"/>
  <c r="F62" i="3" s="1"/>
  <c r="C63" i="3"/>
  <c r="F63" i="3" s="1"/>
  <c r="C64" i="3"/>
  <c r="F64" i="3" s="1"/>
  <c r="C65" i="3"/>
  <c r="F65" i="3" s="1"/>
  <c r="C66" i="3"/>
  <c r="F66" i="3" s="1"/>
  <c r="C41" i="3"/>
  <c r="F41" i="3" s="1"/>
  <c r="C42" i="3"/>
  <c r="F42" i="3" s="1"/>
  <c r="C43" i="3"/>
  <c r="F43" i="3" s="1"/>
  <c r="C44" i="3"/>
  <c r="F44" i="3" s="1"/>
  <c r="C45" i="3"/>
  <c r="F45" i="3" s="1"/>
  <c r="C46" i="3"/>
  <c r="F46" i="3" s="1"/>
  <c r="C38" i="3"/>
  <c r="F38" i="3" s="1"/>
  <c r="C39" i="3"/>
  <c r="F39" i="3" s="1"/>
  <c r="C40" i="3"/>
  <c r="F40" i="3" s="1"/>
  <c r="C16" i="3"/>
  <c r="F16" i="3" s="1"/>
  <c r="C17" i="3"/>
  <c r="F17" i="3" s="1"/>
  <c r="C18" i="3"/>
  <c r="F18" i="3" s="1"/>
  <c r="C19" i="3"/>
  <c r="F19" i="3" s="1"/>
  <c r="C50" i="3"/>
  <c r="F50" i="3" s="1"/>
  <c r="C51" i="3"/>
  <c r="F51" i="3" s="1"/>
  <c r="C52" i="3"/>
  <c r="F52" i="3" s="1"/>
  <c r="C36" i="3"/>
  <c r="F36" i="3" s="1"/>
  <c r="C37" i="3"/>
  <c r="F37" i="3" s="1"/>
  <c r="C70" i="3"/>
  <c r="F70" i="3" s="1"/>
  <c r="C71" i="3"/>
  <c r="F71" i="3" s="1"/>
  <c r="C26" i="3"/>
  <c r="F26" i="3" s="1"/>
  <c r="C27" i="3"/>
  <c r="F27" i="3" s="1"/>
  <c r="C28" i="3"/>
  <c r="F28" i="3" s="1"/>
  <c r="C29" i="3"/>
  <c r="F29" i="3" s="1"/>
  <c r="C33" i="3"/>
  <c r="F33" i="3" s="1"/>
  <c r="C34" i="3"/>
  <c r="F34" i="3" s="1"/>
  <c r="C35" i="3"/>
  <c r="F35" i="3" s="1"/>
  <c r="C30" i="3"/>
  <c r="F30" i="3" s="1"/>
  <c r="C31" i="3"/>
  <c r="F31" i="3" s="1"/>
  <c r="C32" i="3"/>
  <c r="F32" i="3" s="1"/>
  <c r="C47" i="3"/>
  <c r="F47" i="3" s="1"/>
  <c r="C48" i="3"/>
  <c r="F48" i="3" s="1"/>
  <c r="C49" i="3"/>
  <c r="F49" i="3" s="1"/>
  <c r="C67" i="3"/>
  <c r="F67" i="3" s="1"/>
  <c r="C68" i="3"/>
  <c r="F68" i="3" s="1"/>
  <c r="C69" i="3"/>
  <c r="F69" i="3" s="1"/>
</calcChain>
</file>

<file path=xl/sharedStrings.xml><?xml version="1.0" encoding="utf-8"?>
<sst xmlns="http://schemas.openxmlformats.org/spreadsheetml/2006/main" count="863" uniqueCount="522">
  <si>
    <t>상품명</t>
  </si>
  <si>
    <t>품번</t>
  </si>
  <si>
    <t>자체상품코드</t>
  </si>
  <si>
    <t>택가</t>
  </si>
  <si>
    <t>할인율</t>
  </si>
  <si>
    <t xml:space="preserve">https://store.kakao.com/milkbaby/products/408769786 </t>
  </si>
  <si>
    <t>■ 카카오 톡딜 상세페이지 타사 예시</t>
  </si>
  <si>
    <t>■ 상세페이지 상단 작업요청</t>
  </si>
  <si>
    <t xml:space="preserve"> * 방송시간 : 8월 9일 오전 11시 30분</t>
  </si>
  <si>
    <t xml:space="preserve"> * 혜택 1 : 라이브 당일. 3만원 이상 구매시 아웃도어 양말 증정 (주문번호당 1회)</t>
  </si>
  <si>
    <t>순서</t>
  </si>
  <si>
    <t>품번_컬러코드</t>
  </si>
  <si>
    <t>1. 톡채널 친구추가 바로가기</t>
  </si>
  <si>
    <t xml:space="preserve">2. 방송 혜택 </t>
  </si>
  <si>
    <t xml:space="preserve"> * 혜택 2 / 라이브 혜택</t>
  </si>
  <si>
    <t xml:space="preserve">  - 5만원 이상 구매고객 선착순 10명 아웃도어 바디백 블랙(OD245AAB06_BLK) 증정</t>
  </si>
  <si>
    <t xml:space="preserve">  - 구매인증 선착순 5명, 에센셜 파노라마 반팔티(OD262ISS04) 증정 // 컬러 랜덤 &amp; 구매사이즈로 발송</t>
  </si>
  <si>
    <t xml:space="preserve">3. 톡딜 혜택 </t>
  </si>
  <si>
    <r>
      <t xml:space="preserve">    ① 2만원 이상 결제 시 </t>
    </r>
    <r>
      <rPr>
        <b/>
        <sz val="11"/>
        <color rgb="FF1F1F1F"/>
        <rFont val="Arial"/>
        <family val="2"/>
      </rPr>
      <t>5% 할인</t>
    </r>
    <r>
      <rPr>
        <sz val="11"/>
        <color rgb="FF1F1F1F"/>
        <rFont val="Arial"/>
        <family val="2"/>
      </rPr>
      <t> (최대 2천원)</t>
    </r>
  </si>
  <si>
    <r>
      <t xml:space="preserve">    ② 5만원 이상 결제 시 </t>
    </r>
    <r>
      <rPr>
        <b/>
        <sz val="11"/>
        <color rgb="FF1F1F1F"/>
        <rFont val="Arial"/>
        <family val="2"/>
      </rPr>
      <t>5% 할인</t>
    </r>
    <r>
      <rPr>
        <sz val="11"/>
        <color rgb="FF1F1F1F"/>
        <rFont val="Arial"/>
        <family val="2"/>
      </rPr>
      <t> (최대 5천원)</t>
    </r>
  </si>
  <si>
    <r>
      <t xml:space="preserve">    ③ 10만원 이상 결제 시 </t>
    </r>
    <r>
      <rPr>
        <b/>
        <sz val="11"/>
        <color rgb="FF1F1F1F"/>
        <rFont val="Arial"/>
        <family val="2"/>
      </rPr>
      <t>7% 할인</t>
    </r>
    <r>
      <rPr>
        <sz val="11"/>
        <color rgb="FF1F1F1F"/>
        <rFont val="Arial"/>
        <family val="2"/>
      </rPr>
      <t> (최대 7만원)</t>
    </r>
  </si>
  <si>
    <t xml:space="preserve"> * 장바구니 쿠폰</t>
  </si>
  <si>
    <t xml:space="preserve"> * 기간 : 8/6(목) 0시 ~ 8/9(일) 24시</t>
  </si>
  <si>
    <t xml:space="preserve"> * '차일디' 카카오톡 플러스 친구 추가시, 2천원 쿠폰 발급</t>
  </si>
  <si>
    <t xml:space="preserve"> * 라이브 전용 혜택 : 카카오페이 머니로 1만원 이상 결제 시 7% 할인 (최대 2만원, 횟수 제한 없음)</t>
  </si>
  <si>
    <t xml:space="preserve"> * 전상품 무료배송</t>
  </si>
  <si>
    <t>OD261ILS02_NVY</t>
  </si>
  <si>
    <t>OD261ILS02_LIM</t>
  </si>
  <si>
    <t>OD261ILS04_OWH</t>
  </si>
  <si>
    <t>OD261ILS04_NVY</t>
  </si>
  <si>
    <t>OD261ILS71_LPU</t>
  </si>
  <si>
    <t>OD262OJK01_IVY</t>
  </si>
  <si>
    <t>OD262OJK01_BLK</t>
  </si>
  <si>
    <t>OD262ONR02_LGY</t>
  </si>
  <si>
    <t>OD262ONR02_KHA</t>
  </si>
  <si>
    <t>OD262ONR02_NVY</t>
  </si>
  <si>
    <t>OD262BHP02_LGY</t>
  </si>
  <si>
    <t>OD262BHP02_KHA</t>
  </si>
  <si>
    <t>OD262BHP02_NVY</t>
  </si>
  <si>
    <t>OD262ISS01_CHC</t>
  </si>
  <si>
    <t>OD262ISS02_OWH</t>
  </si>
  <si>
    <t>아웃도어 프로덕츠 [OD262ISS02] 에센셜 백그래픽 반팔티셔츠 (오프 화이트)</t>
  </si>
  <si>
    <t>OD262ISS02_LIM</t>
  </si>
  <si>
    <t>아웃도어 프로덕츠 [OD262ISS02] 에센셜 백그래픽 반팔티셔츠 (라임)</t>
  </si>
  <si>
    <t>OD262ISS02_BLU</t>
  </si>
  <si>
    <t>아웃도어 프로덕츠 [OD262ISS02] 에센셜 백그래픽 반팔티셔츠 (블루)</t>
  </si>
  <si>
    <t>OD262ISS02_NVY</t>
  </si>
  <si>
    <t>아웃도어 프로덕츠 [OD262ISS02] 에센셜 백그래픽 반팔티셔츠 (네이비)</t>
  </si>
  <si>
    <t>OD262ISS02_MLG</t>
  </si>
  <si>
    <t>아웃도어 프로덕츠 [OD262ISS02] 에센셜 백그래픽 반팔티셔츠 (멜란지)</t>
  </si>
  <si>
    <t>OD262ISS03_BLK</t>
  </si>
  <si>
    <t>OD262ISS03_OWH</t>
  </si>
  <si>
    <t>OD262ISS03_ORG</t>
  </si>
  <si>
    <t>OD262ISS03_MLG</t>
  </si>
  <si>
    <t>OD262ISS04_IVY</t>
  </si>
  <si>
    <t>아웃도어 프로덕츠 [OD262ISS04] 에센셜 파노라마 반팔티셔츠 (아이보리)</t>
  </si>
  <si>
    <t>OD262ISS04_YEL</t>
  </si>
  <si>
    <t>아웃도어 프로덕츠 [OD262ISS04] 에센셜 파노라마 반팔티셔츠 (옐로우)</t>
  </si>
  <si>
    <t>OD262ISS04_BLU</t>
  </si>
  <si>
    <t>아웃도어 프로덕츠 [OD262ISS04] 에센셜 파노라마 반팔티셔츠 (블루)</t>
  </si>
  <si>
    <t>OD262ISS04_BLK</t>
  </si>
  <si>
    <t>아웃도어 프로덕츠 [OD262ISS04] 에센셜 파노라마 반팔티셔츠 (블랙)</t>
  </si>
  <si>
    <t>OD262ISS04_MWH</t>
  </si>
  <si>
    <t>아웃도어 프로덕츠 [OD262ISS04] 에센셜 파노라마 반팔티셔츠 (멜란지 화이트)</t>
  </si>
  <si>
    <t>OD262ISS05_OWH</t>
  </si>
  <si>
    <t>OD262ISS05_LPU</t>
  </si>
  <si>
    <t>OD262ISS05_NVY</t>
  </si>
  <si>
    <t>OD262ISS06_OWH</t>
  </si>
  <si>
    <t>아웃도어 프로덕츠 [OD262ISS06] 백그래픽 반팔티셔츠 (오프 화이트)</t>
  </si>
  <si>
    <t>OD262ISS06_LGN</t>
  </si>
  <si>
    <t>아웃도어 프로덕츠 [OD262ISS06] 백그래픽 반팔티셔츠 (라이트 그린)</t>
  </si>
  <si>
    <t>OD262ISS06_ORG</t>
  </si>
  <si>
    <t>아웃도어 프로덕츠 [OD262ISS06] 백그래픽 반팔티셔츠 (오렌지)</t>
  </si>
  <si>
    <t>OD262ISS06_CHC</t>
  </si>
  <si>
    <t>아웃도어 프로덕츠 [OD262ISS06] 백그래픽 반팔티셔츠 (차콜)</t>
  </si>
  <si>
    <t>OD262ISS07_OWH</t>
  </si>
  <si>
    <t>아웃도어 프로덕츠 [OD262ISS07] 포켓 반팔티셔츠 (오프 화이트)</t>
  </si>
  <si>
    <t>OD262ISS07_MLG</t>
  </si>
  <si>
    <t>아웃도어 프로덕츠 [OD262ISS07] 포켓 반팔티셔츠 (멜란지)</t>
  </si>
  <si>
    <t>OD262ISS07_BLK</t>
  </si>
  <si>
    <t>아웃도어 프로덕츠 [OD262ISS07] 포켓 반팔티셔츠 (블랙)</t>
  </si>
  <si>
    <t>OD262ISC08_GRN</t>
  </si>
  <si>
    <t>OD262ISC08_NVY</t>
  </si>
  <si>
    <t>OD262ISS10_BGN</t>
  </si>
  <si>
    <t>아웃도어 프로덕츠 [OD262ISS10] 백그래픽 오버핏 반팔티셔츠 (블루그린)</t>
  </si>
  <si>
    <t>OD262ISS10_MWH</t>
  </si>
  <si>
    <t>아웃도어 프로덕츠 [OD262ISS10] 백그래픽 오버핏 반팔티셔츠 (멜란지 화이트)</t>
  </si>
  <si>
    <t>OD262ISS10_OWH</t>
  </si>
  <si>
    <t>아웃도어 프로덕츠 [OD262ISS10] 백그래픽 오버핏 반팔티셔츠 (오프 화이트)</t>
  </si>
  <si>
    <t>OD262BHP01_BEI</t>
  </si>
  <si>
    <t>OD262BHP01_DGY</t>
  </si>
  <si>
    <t>OD262BHP01_BLK</t>
  </si>
  <si>
    <t>OD262BHP03_LBE</t>
  </si>
  <si>
    <t>아웃도어 프로덕츠 [OD262BHP03] 에센셜 우븐 쇼츠 (라이트 베이지)</t>
  </si>
  <si>
    <t>OD262BHP03_BEI</t>
  </si>
  <si>
    <t>아웃도어 프로덕츠 [OD262BHP03] 에센셜 우븐 쇼츠 (베이지)</t>
  </si>
  <si>
    <t>OD262BHP03_GRN</t>
  </si>
  <si>
    <t>아웃도어 프로덕츠 [OD262BHP03] 에센셜 우븐 쇼츠 (그린)</t>
  </si>
  <si>
    <t>OD262BHP03_DGY</t>
  </si>
  <si>
    <t>아웃도어 프로덕츠 [OD262BHP03] 에센셜 우븐 쇼츠 (딥그레이)</t>
  </si>
  <si>
    <t>OD262BHP03_BLK</t>
  </si>
  <si>
    <t>아웃도어 프로덕츠 [OD262BHP03] 에센셜 우븐 쇼츠 (블랙)</t>
  </si>
  <si>
    <t>OD262BHP04_DGN</t>
  </si>
  <si>
    <t>아웃도어 프로덕츠 [OD262BHP04] 우븐 포켓 쇼츠 (딥그린)</t>
  </si>
  <si>
    <t>OD262BHP04_LGY</t>
  </si>
  <si>
    <t>아웃도어 프로덕츠 [OD262BHP04] 우븐 포켓 쇼츠 (라이트 그레이)</t>
  </si>
  <si>
    <t>OD262BHP04_LPK</t>
  </si>
  <si>
    <t>아웃도어 프로덕츠 [OD262BHP04] 우븐 포켓 쇼츠 (라이트 핑크)</t>
  </si>
  <si>
    <t>OD262BHP04_BLU</t>
  </si>
  <si>
    <t>아웃도어 프로덕츠 [OD262BHP04] 우븐 포켓 쇼츠 (블루)</t>
  </si>
  <si>
    <t>OD262BHP04_DNY</t>
  </si>
  <si>
    <t>아웃도어 프로덕츠 [OD262BHP04] 우븐 포켓 쇼츠 (다크 네이비)</t>
  </si>
  <si>
    <t>OD262BHP05_MWH</t>
  </si>
  <si>
    <t>아웃도어 프로덕츠 [OD262BHP05] 에센셜 저지 쇼츠 (멜란지 화이트)</t>
  </si>
  <si>
    <t>OD262BHP05_KHA</t>
  </si>
  <si>
    <t>아웃도어 프로덕츠 [OD262BHP05] 에센셜 저지 쇼츠 (카키)</t>
  </si>
  <si>
    <t>OD262BHP05_DNY</t>
  </si>
  <si>
    <t>아웃도어 프로덕츠 [OD262BHP05] 에센셜 저지 쇼츠 (다크 네이비)</t>
  </si>
  <si>
    <t>OD262BHP05_BLK</t>
  </si>
  <si>
    <t>아웃도어 프로덕츠 [OD262BHP05] 에센셜 저지 쇼츠 (블랙)</t>
  </si>
  <si>
    <t>OD262BHP09_OTM</t>
  </si>
  <si>
    <t>OD262BHP09_MLG</t>
  </si>
  <si>
    <t>OD262BHP09_DGY</t>
  </si>
  <si>
    <t>OD262BHP07_MUS</t>
  </si>
  <si>
    <t>OD262BHP07_DGN</t>
  </si>
  <si>
    <t>OD262BHP07_BLK</t>
  </si>
  <si>
    <t>OD262ISS91_OWH</t>
  </si>
  <si>
    <t>아웃도어 프로덕츠 [OD262ISS91] [온라인전용] 베이직 그래픽 반팔티셔츠 (오프 화이트)</t>
  </si>
  <si>
    <t>OD262ISS91_BLU</t>
  </si>
  <si>
    <t>아웃도어 프로덕츠 [OD262ISS91] [온라인전용] 베이직 그래픽 반팔티셔츠 (블루)</t>
  </si>
  <si>
    <t>OD262ISS91_CHC</t>
  </si>
  <si>
    <t>아웃도어 프로덕츠 [OD262ISS91] [온라인전용] 베이직 그래픽 반팔티셔츠 (차콜)</t>
  </si>
  <si>
    <t>OD262ISS92_OWH</t>
  </si>
  <si>
    <t>아웃도어 프로덕츠 [OD262ISS92] [온라인전용] 그래픽 반팔티셔츠 (오프 화이트)</t>
  </si>
  <si>
    <t>OD262ISS92_LBL</t>
  </si>
  <si>
    <t>아웃도어 프로덕츠 [OD262ISS92] [온라인전용] 그래픽 반팔티셔츠 (라이트블루)</t>
  </si>
  <si>
    <t>OD262ISS92_NVY</t>
  </si>
  <si>
    <t>아웃도어 프로덕츠 [OD262ISS92] [온라인전용] 그래픽 반팔티셔츠 (네이비)</t>
  </si>
  <si>
    <t>OD262ISS93_MWH</t>
  </si>
  <si>
    <t>아웃도어 프로덕츠 [OD262ISS93] [온라인전용] 백그래픽 반팔티셔츠 (멜란지 화이트)</t>
  </si>
  <si>
    <t>OD262ISS93_ORG</t>
  </si>
  <si>
    <t>아웃도어 프로덕츠 [OD262ISS93] [온라인전용] 백그래픽 반팔티셔츠 (오렌지)</t>
  </si>
  <si>
    <t>OD262ISS93_BLK</t>
  </si>
  <si>
    <t>아웃도어 프로덕츠 [OD262ISS93] [온라인전용] 백그래픽 반팔티셔츠 (블랙)</t>
  </si>
  <si>
    <t>OD262ISS11_CRE</t>
  </si>
  <si>
    <t>OD262ISS11_CHC</t>
  </si>
  <si>
    <t>OD262ISS12_NVY</t>
  </si>
  <si>
    <t>OD262ISS12_BLK</t>
  </si>
  <si>
    <t>OD262ISS13_OWH</t>
  </si>
  <si>
    <t>OD262ISS13_SBL</t>
  </si>
  <si>
    <t>OD262ISS13_CHC</t>
  </si>
  <si>
    <t>OD262ISS14_OWH</t>
  </si>
  <si>
    <t>OD262ISS14_DGY</t>
  </si>
  <si>
    <t>OD262ISS15_OWH</t>
  </si>
  <si>
    <t>아웃도어 프로덕츠 [OD262ISS15] 바캉스 백 그래픽 반팔 티셔츠 (오프 화이트)</t>
  </si>
  <si>
    <t>OD262ISS15_MWH</t>
  </si>
  <si>
    <t>아웃도어 프로덕츠 [OD262ISS15] 바캉스 백 그래픽 반팔 티셔츠 (멜란지 화이트)</t>
  </si>
  <si>
    <t>OD262ISS15_LPU</t>
  </si>
  <si>
    <t>아웃도어 프로덕츠 [OD262ISS15] 바캉스 백 그래픽 반팔 티셔츠 (라이트 퍼플)</t>
  </si>
  <si>
    <t>OD262ISS15_DNY</t>
  </si>
  <si>
    <t>아웃도어 프로덕츠 [OD262ISS15] 바캉스 백 그래픽 반팔 티셔츠 (다크 네이비)</t>
  </si>
  <si>
    <t>OD262ISS16_MWH</t>
  </si>
  <si>
    <t>OD262ISS16_GRN</t>
  </si>
  <si>
    <t>OD262ISS16_BLK</t>
  </si>
  <si>
    <t>OD262ISS17_IVY</t>
  </si>
  <si>
    <t>OD262ISS17_MWH</t>
  </si>
  <si>
    <t>OD262ISS17_RBL</t>
  </si>
  <si>
    <t>OD262ISS18_OWH</t>
  </si>
  <si>
    <t>OD262ISS18_ORG</t>
  </si>
  <si>
    <t>OD262ISS18_LGN</t>
  </si>
  <si>
    <t>OD262ISS19_IVY</t>
  </si>
  <si>
    <t>OD262ISS19_MWH</t>
  </si>
  <si>
    <t>OD262ISS19_BLK</t>
  </si>
  <si>
    <t>OD262ISS20_BLU</t>
  </si>
  <si>
    <t>OD262ISS20_GRY</t>
  </si>
  <si>
    <t>OD262BHP10_IVY</t>
  </si>
  <si>
    <t>OD262BHP10_NVY</t>
  </si>
  <si>
    <t>OD262BHP11_OTM</t>
  </si>
  <si>
    <t>아웃도어 프로덕츠 [OD262BHP11] 저지 카고 쇼츠 (오트밀)</t>
  </si>
  <si>
    <t>OD262BHP11_MLG</t>
  </si>
  <si>
    <t>아웃도어 프로덕츠 [OD262BHP11] 저지 카고 쇼츠 (멜란지)</t>
  </si>
  <si>
    <t>OD262BHP11_DGY</t>
  </si>
  <si>
    <t>아웃도어 프로덕츠 [OD262BHP11] 저지 카고 쇼츠 (딥그레이)</t>
  </si>
  <si>
    <t>OD262BHP12_BEI</t>
  </si>
  <si>
    <t>OD262BHP13_OLI</t>
  </si>
  <si>
    <t>OD262BHP13_BRN</t>
  </si>
  <si>
    <t>OD262BDP14_LBL</t>
  </si>
  <si>
    <t>OD262BDP14_BLU</t>
  </si>
  <si>
    <t>OD262ISS71_CRE</t>
  </si>
  <si>
    <t>아웃도어 프로덕츠 [OD262ISS71] 여아 나그랑 반팔 티셔츠 (크림)</t>
  </si>
  <si>
    <t>OD262ISS71_MWH</t>
  </si>
  <si>
    <t>아웃도어 프로덕츠 [OD262ISS71] 여아 나그랑 반팔 티셔츠 (멜란지 화이트)</t>
  </si>
  <si>
    <t>OD262ISS72_OWH</t>
  </si>
  <si>
    <t>OD262ISS72_LEM</t>
  </si>
  <si>
    <t>OD262ISS73_MWH</t>
  </si>
  <si>
    <t>OD262BHP71_NVY</t>
  </si>
  <si>
    <t>OD262BHP71_DGY</t>
  </si>
  <si>
    <t>OD262BHP72_BEI</t>
  </si>
  <si>
    <t>OD262BHP72_DGY</t>
  </si>
  <si>
    <t>OD262BDP73_LBL</t>
  </si>
  <si>
    <t>OD262BDP73_BLU</t>
  </si>
  <si>
    <t>OD262EOP71_OWH</t>
  </si>
  <si>
    <t>아웃도어 프로덕츠 [OD262EOP71] 여아 썸머 저지 원피스 (오프 화이트)</t>
  </si>
  <si>
    <t>OD262EOP71_LIM</t>
  </si>
  <si>
    <t>아웃도어 프로덕츠 [OD262EOP71] 여아 썸머 저지 원피스 (라임)</t>
  </si>
  <si>
    <t>OD260AAC01_LPU</t>
  </si>
  <si>
    <t>OD260AAC01_NVY</t>
  </si>
  <si>
    <t>OD262ISS21_IVY</t>
  </si>
  <si>
    <t>아웃도어 프로덕츠 [OD262ISS21] 쿨터치 썸머 그래픽 반팔 티셔츠 (아이보리)</t>
  </si>
  <si>
    <t>OD262ISS21_ORG</t>
  </si>
  <si>
    <t>아웃도어 프로덕츠 [OD262ISS21] 쿨터치 썸머 그래픽 반팔 티셔츠 (오렌지)</t>
  </si>
  <si>
    <t>OD262ISS21_BGN</t>
  </si>
  <si>
    <t>아웃도어 프로덕츠 [OD262ISS21] 쿨터치 썸머 그래픽 반팔 티셔츠 (블루그린)</t>
  </si>
  <si>
    <t>OD262ISS21_DNY</t>
  </si>
  <si>
    <t>아웃도어 프로덕츠 [OD262ISS21] 쿨터치 썸머 그래픽 반팔 티셔츠 (다크 네이비)</t>
  </si>
  <si>
    <t>OD262ISS23_OWH</t>
  </si>
  <si>
    <t>아웃도어 프로덕츠 [OD262ISS23] 쿨터치 수박 그래픽 반팔 티셔츠 (오프 화이트)</t>
  </si>
  <si>
    <t>OD262ISS23_LIM</t>
  </si>
  <si>
    <t>아웃도어 프로덕츠 [OD262ISS23] 쿨터치 수박 그래픽 반팔 티셔츠 (라임)</t>
  </si>
  <si>
    <t>OD262ISS23_LPK</t>
  </si>
  <si>
    <t>아웃도어 프로덕츠 [OD262ISS23] 쿨터치 수박 그래픽 반팔 티셔츠 (라이트 핑크)</t>
  </si>
  <si>
    <t>OD262ISS22_OWH</t>
  </si>
  <si>
    <t>아웃도어 프로덕츠 [OD262ISS22] 쿨터치 백 그래픽 반팔 티셔츠 (오프 화이트)</t>
  </si>
  <si>
    <t>OD262ISS22_LEM</t>
  </si>
  <si>
    <t>아웃도어 프로덕츠 [OD262ISS22] 쿨터치 백 그래픽 반팔 티셔츠 (레몬)</t>
  </si>
  <si>
    <t>OD262ISS22_MIN</t>
  </si>
  <si>
    <t>아웃도어 프로덕츠 [OD262ISS22] 쿨터치 백 그래픽 반팔 티셔츠 (민트)</t>
  </si>
  <si>
    <t>OD262ITK24_OWH</t>
  </si>
  <si>
    <t>아웃도어 프로덕츠 [OD262ITK24] 쿨터치 백 그래픽 탱크탑 (오프 화이트)</t>
  </si>
  <si>
    <t>OD262ITK24_LEM</t>
  </si>
  <si>
    <t>아웃도어 프로덕츠 [OD262ITK24] 쿨터치 백 그래픽 탱크탑 (레몬)</t>
  </si>
  <si>
    <t>OD262ITK24_DNY</t>
  </si>
  <si>
    <t>아웃도어 프로덕츠 [OD262ITK24] 쿨터치 백 그래픽 탱크탑 (다크 네이비)</t>
  </si>
  <si>
    <t>OD262ITK25_OWH</t>
  </si>
  <si>
    <t>OD262ITK25_LBL</t>
  </si>
  <si>
    <t>OD262ITK25_NVY</t>
  </si>
  <si>
    <t>OD262ISH26_RBL</t>
  </si>
  <si>
    <t>OD262BHP15_LGY</t>
  </si>
  <si>
    <t>아웃도어 프로덕츠 [OD262BHP15] 쿨터치 우븐 쇼츠 (라이트 그레이)</t>
  </si>
  <si>
    <t>OD262BHP15_BEI</t>
  </si>
  <si>
    <t>아웃도어 프로덕츠 [OD262BHP15] 쿨터치 우븐 쇼츠 (베이지)</t>
  </si>
  <si>
    <t>OD262BHP15_BLK</t>
  </si>
  <si>
    <t>아웃도어 프로덕츠 [OD262BHP15] 쿨터치 우븐 쇼츠 (블랙)</t>
  </si>
  <si>
    <t>OD262BHP26_RBL</t>
  </si>
  <si>
    <t>OD262BHP26_DGY</t>
  </si>
  <si>
    <t>OD262ESW01_OWH</t>
  </si>
  <si>
    <t>OD262ESW01_NVY</t>
  </si>
  <si>
    <t>OD262ESW02_BLK</t>
  </si>
  <si>
    <t>OD262ESW02_NVY</t>
  </si>
  <si>
    <t>OD262ESW03_LGN</t>
  </si>
  <si>
    <t>OD262ESW03_BLU</t>
  </si>
  <si>
    <t>OD262ESW03_BLK</t>
  </si>
  <si>
    <t>OD262ESW04_BLK</t>
  </si>
  <si>
    <t>D</t>
  </si>
  <si>
    <t>SS</t>
  </si>
  <si>
    <t>TK</t>
  </si>
  <si>
    <t>HP</t>
  </si>
  <si>
    <t>OP</t>
  </si>
  <si>
    <t>JK</t>
  </si>
  <si>
    <t>PT</t>
  </si>
  <si>
    <t>ST</t>
  </si>
  <si>
    <t>SC</t>
  </si>
  <si>
    <t>DP</t>
  </si>
  <si>
    <t>NR</t>
  </si>
  <si>
    <t>NRHP</t>
  </si>
  <si>
    <t>SW</t>
  </si>
  <si>
    <t>LS</t>
  </si>
  <si>
    <t>악세</t>
  </si>
  <si>
    <t>ㅌ</t>
  </si>
  <si>
    <t>에센셜 파노라마 반팔티셔츠</t>
  </si>
  <si>
    <t>백그래픽 오버핏 반팔티셔츠</t>
  </si>
  <si>
    <t>온라인) 백그래픽 반팔티셔츠</t>
  </si>
  <si>
    <t>온라인) 베이직 그래픽 반팔티셔츠</t>
  </si>
  <si>
    <t>온라인) 그래픽 반팔티셔츠</t>
  </si>
  <si>
    <t>쿨터치 백 그래픽 탱크탑</t>
  </si>
  <si>
    <t>아웃도어 프로덕츠 [OD267ISS85]그래픽 크루 반팔티 (3color)</t>
  </si>
  <si>
    <t>OD252ISS92_IVY</t>
  </si>
  <si>
    <t>온라인) 전면그래픽 반팔티셔츠</t>
  </si>
  <si>
    <t>OD252ISS92_LBL</t>
  </si>
  <si>
    <t>OD252ISS93_WHT</t>
  </si>
  <si>
    <t>온라인) 아웃도어 레터링 반팔티셔츠</t>
  </si>
  <si>
    <t>OD252ISS71_LPU</t>
  </si>
  <si>
    <t>여아 링거 반팔티셔츠</t>
  </si>
  <si>
    <t>OD252ISS72_LEM</t>
  </si>
  <si>
    <t>여아 세미크롭 반팔티셔츠</t>
  </si>
  <si>
    <t>OD252ISS72_MIN</t>
  </si>
  <si>
    <t>OD252ISS73_SBL</t>
  </si>
  <si>
    <t>여아 컬러블록 세미크롭 반팔티셔츠</t>
  </si>
  <si>
    <t>OD252ISS73_LPK</t>
  </si>
  <si>
    <t>OD252ISS19_LPU</t>
  </si>
  <si>
    <t>선글라스 햇님 반팔티셔츠</t>
  </si>
  <si>
    <t>OD252ISS19_CHC</t>
  </si>
  <si>
    <t>OD252ITK17_IVY</t>
  </si>
  <si>
    <t>에센셜 아웃도어 탱크탑</t>
  </si>
  <si>
    <t>OD252ITK17_MWH</t>
  </si>
  <si>
    <t>OD252ITK17_BLK</t>
  </si>
  <si>
    <t>에센셜 백그래픽 반팔티셔츠</t>
  </si>
  <si>
    <t>백 그래픽 반팔티셔츠</t>
  </si>
  <si>
    <t>바캉스 백 그래픽 반팔 티셔츠</t>
  </si>
  <si>
    <t>포켓 반팔티셔츠</t>
  </si>
  <si>
    <t>쿨터치 썸머 그래픽 반팔 티셔츠</t>
  </si>
  <si>
    <t>쿨터치 백 그래픽 반팔 티셔츠</t>
  </si>
  <si>
    <t>쿨터치 수박 그래픽 반팔 티셔츠</t>
  </si>
  <si>
    <t>여아 나그랑 반팔 티셔츠</t>
  </si>
  <si>
    <t>백 그래픽 탱크탑</t>
  </si>
  <si>
    <t>OD252ISS15_ORG</t>
  </si>
  <si>
    <t>메쉬피케 스트라이프 반팔티셔츠</t>
  </si>
  <si>
    <t>에센셜 아웃도어 반팔티셔츠</t>
  </si>
  <si>
    <t>그래픽 반팔티셔츠</t>
  </si>
  <si>
    <t>링거 그래픽 반팔 티셔츠</t>
  </si>
  <si>
    <t>컬러블록 반팔 티셔츠</t>
  </si>
  <si>
    <t>어드벤처 그래픽 반팔 티셔츠</t>
  </si>
  <si>
    <t>아웃도어 그래픽 반팔 티셔츠</t>
  </si>
  <si>
    <t>여아 립 배색 반팔 티셔츠</t>
  </si>
  <si>
    <t>에센셜 스트라이프 반팔티셔츠</t>
  </si>
  <si>
    <t>링거 백 그래픽 반팔 티셔츠</t>
  </si>
  <si>
    <t>메쉬 매치 반팔 티셔츠</t>
  </si>
  <si>
    <t>서핑 백 그래픽 반팔 티셔츠</t>
  </si>
  <si>
    <t>서핑비치 그래픽 반팔 티셔츠</t>
  </si>
  <si>
    <t>여아 백 그래픽 반팔 티셔츠</t>
  </si>
  <si>
    <t>타이다이 반팔 티셔츠</t>
  </si>
  <si>
    <t>OD252ISH18_KHA</t>
  </si>
  <si>
    <t>시어서커 반팔 셔츠</t>
  </si>
  <si>
    <t>스트라이프 카라티</t>
  </si>
  <si>
    <t>에센셜 저지 쇼츠</t>
  </si>
  <si>
    <t>아웃도어 프로덕츠 [OD267BHP48] 사이드포켓 우븐팬츠 (3color)</t>
  </si>
  <si>
    <t>저지 카고 쇼츠</t>
  </si>
  <si>
    <t>에센셜 우븐 쇼츠</t>
  </si>
  <si>
    <t>우븐 포켓 쇼츠</t>
  </si>
  <si>
    <t>쿨터치 우븐 쇼츠</t>
  </si>
  <si>
    <t>그래픽 저지 쇼츠</t>
  </si>
  <si>
    <t>와플 돌핀 쇼츠</t>
  </si>
  <si>
    <t>여아 저지 쇼츠</t>
  </si>
  <si>
    <t>OD252BHP71_BLK</t>
  </si>
  <si>
    <t>여아 돌핀쇼츠</t>
  </si>
  <si>
    <t>OD252BHP71_NVY</t>
  </si>
  <si>
    <t>OD252BHP71_PUR</t>
  </si>
  <si>
    <t>아웃도어 프로덕츠 [OD267BPT16]우븐 7부팬츠 (3color)</t>
  </si>
  <si>
    <t>우븐 아웃포켓 쇼츠</t>
  </si>
  <si>
    <t>시어서커 쇼츠</t>
  </si>
  <si>
    <t>OD252BHP73_SBL</t>
  </si>
  <si>
    <t>싱글 큐롯팬츠</t>
  </si>
  <si>
    <t>OD252BHP73_LPK</t>
  </si>
  <si>
    <t>우븐 5부 쇼츠</t>
  </si>
  <si>
    <t>린넨 5부 쇼츠</t>
  </si>
  <si>
    <t>OD252BHP72_LPK</t>
  </si>
  <si>
    <t>우븐 치마바지</t>
  </si>
  <si>
    <t>OD252BHP72_NVY</t>
  </si>
  <si>
    <t>여아 우븐 스커트 팬츠</t>
  </si>
  <si>
    <t>7부 우븐팬츠</t>
  </si>
  <si>
    <t>베이직 데님 쇼츠</t>
  </si>
  <si>
    <t>여아 데님 쇼츠</t>
  </si>
  <si>
    <t>OD252ONR03_CRE</t>
  </si>
  <si>
    <t>아노락 반집업</t>
  </si>
  <si>
    <t>OD252ONR03_MIN</t>
  </si>
  <si>
    <t>OD252ONR03_DGY</t>
  </si>
  <si>
    <t>OD252BHP03_CRE</t>
  </si>
  <si>
    <t>아노락 세트 우븐 쇼츠</t>
  </si>
  <si>
    <t>OD252BHP03_MIN</t>
  </si>
  <si>
    <t>OD252BHP03_DGY</t>
  </si>
  <si>
    <t>여아 썸머 저지 원피스</t>
  </si>
  <si>
    <t>아웃도어 프로덕츠 [OD267SST35]SS 반팔 상하셋업 (3color)</t>
  </si>
  <si>
    <t>OD252EOP72_NVY</t>
  </si>
  <si>
    <t>여아 메쉬피케 스트라이프 원피스</t>
  </si>
  <si>
    <t>OD252EOP71_BLU</t>
  </si>
  <si>
    <t>여아 데님 오버롤 원피스</t>
  </si>
  <si>
    <t>OD252ESW02_WHT</t>
  </si>
  <si>
    <t>워터 반팔티셔츠</t>
  </si>
  <si>
    <t>OD252ESW02_LPK</t>
  </si>
  <si>
    <t>OD252ESW02_DNY</t>
  </si>
  <si>
    <t>긴팔 백 그래픽 워터 티셔츠</t>
  </si>
  <si>
    <t>긴팔 레이어드 워터 티셔츠</t>
  </si>
  <si>
    <t>OD252ESW03_DNY</t>
  </si>
  <si>
    <t>아웃도어 스윔 쇼츠</t>
  </si>
  <si>
    <t>레터링 스윔 쇼츠</t>
  </si>
  <si>
    <t>OD252ESW04_LPU</t>
  </si>
  <si>
    <t>반바지 워터 레깅스</t>
  </si>
  <si>
    <t>워터 레깅스 쇼츠</t>
  </si>
  <si>
    <t>아웃도어 프로덕츠 [OD267OJK66]아웃도어 윈드브레이커 (3color)</t>
  </si>
  <si>
    <t>컬러블록 바람막이</t>
  </si>
  <si>
    <t>그래픽 라글란 티셔츠</t>
  </si>
  <si>
    <t>아웃도어 립 배색 티셔츠</t>
  </si>
  <si>
    <t>여아 그래픽 라글란 티셔츠</t>
  </si>
  <si>
    <t>썸머 넥커버 버킷햇</t>
  </si>
  <si>
    <t>OD250AAB01_DGY</t>
  </si>
  <si>
    <t>미니 크로스백</t>
  </si>
  <si>
    <t>OD250AAB01_NVY</t>
  </si>
  <si>
    <t>OD250AAB02_CRE</t>
  </si>
  <si>
    <t>미니 핸드폰 백</t>
  </si>
  <si>
    <t>OD250AAO01_MLG</t>
  </si>
  <si>
    <t>아웃도어 베이직 크루삭스</t>
  </si>
  <si>
    <t>OD250AAO01_CRE</t>
  </si>
  <si>
    <t>OD250AAO01_WHT</t>
  </si>
  <si>
    <t>OD250AAO02_DNY</t>
  </si>
  <si>
    <t>아웃도어 배색 미들삭스</t>
  </si>
  <si>
    <t>OD250AAO02_MWH</t>
  </si>
  <si>
    <t>OD255AAO01_MWH</t>
  </si>
  <si>
    <t>OD255AAO01_LKH</t>
  </si>
  <si>
    <t>OD255AAO01_BEI</t>
  </si>
  <si>
    <t>OD255AAO02_BEI</t>
  </si>
  <si>
    <t>스트라이프 미들삭스</t>
  </si>
  <si>
    <t>OD255AAO02_PNK</t>
  </si>
  <si>
    <t>OD255AAO02_WHT</t>
  </si>
  <si>
    <t>OD262ISS04</t>
  </si>
  <si>
    <t>OD262ISS10</t>
  </si>
  <si>
    <t>OD262BHP05</t>
  </si>
  <si>
    <t>OD262ISS93</t>
  </si>
  <si>
    <t>OD262ISS91</t>
  </si>
  <si>
    <t>OD262ISS92</t>
  </si>
  <si>
    <t>OD262ITK24</t>
  </si>
  <si>
    <t>OD267ISS85</t>
  </si>
  <si>
    <t>OD252ISS92</t>
  </si>
  <si>
    <t>OD252ISS93</t>
  </si>
  <si>
    <t>OD252ISS71</t>
  </si>
  <si>
    <t>OD252ISS72</t>
  </si>
  <si>
    <t>OD252ISS73</t>
  </si>
  <si>
    <t>OD252ISS19</t>
  </si>
  <si>
    <t>OD252ITK17</t>
  </si>
  <si>
    <t>OD262ISS02</t>
  </si>
  <si>
    <t>OD262ISS06</t>
  </si>
  <si>
    <t>OD262ISS15</t>
  </si>
  <si>
    <t>OD262ISS07</t>
  </si>
  <si>
    <t>OD262ISS21</t>
  </si>
  <si>
    <t>OD262ISS22</t>
  </si>
  <si>
    <t>OD262ISS23</t>
  </si>
  <si>
    <t>OD262ISS71</t>
  </si>
  <si>
    <t>OD262ITK25</t>
  </si>
  <si>
    <t>OD252ISS15</t>
  </si>
  <si>
    <t>OD262ISS03</t>
  </si>
  <si>
    <t>OD262ISS05</t>
  </si>
  <si>
    <t>OD262ISS11</t>
  </si>
  <si>
    <t>OD262ISS12</t>
  </si>
  <si>
    <t>OD262ISS17</t>
  </si>
  <si>
    <t>OD262ISS18</t>
  </si>
  <si>
    <t>OD262ISS73</t>
  </si>
  <si>
    <t>OD262ISS01</t>
  </si>
  <si>
    <t>OD262ISS13</t>
  </si>
  <si>
    <t>OD262ISS14</t>
  </si>
  <si>
    <t>OD262ISS16</t>
  </si>
  <si>
    <t>OD262ISS19</t>
  </si>
  <si>
    <t>OD262ISS72</t>
  </si>
  <si>
    <t>OD262ISS20</t>
  </si>
  <si>
    <t>OD252ISH18</t>
  </si>
  <si>
    <t>OD262ISC08</t>
  </si>
  <si>
    <t>OD262ISH26</t>
  </si>
  <si>
    <t>OD267BHP48</t>
  </si>
  <si>
    <t>OD262BHP11</t>
  </si>
  <si>
    <t>OD262BHP03</t>
  </si>
  <si>
    <t>OD262BHP04</t>
  </si>
  <si>
    <t>OD262BHP15</t>
  </si>
  <si>
    <t>OD262BHP09</t>
  </si>
  <si>
    <t>OD262BHP10</t>
  </si>
  <si>
    <t>OD262BHP71</t>
  </si>
  <si>
    <t>OD252BHP71</t>
  </si>
  <si>
    <t>OD267BPT16</t>
  </si>
  <si>
    <t>OD262BHP07</t>
  </si>
  <si>
    <t>OD262BHP26</t>
  </si>
  <si>
    <t>OD252BHP73</t>
  </si>
  <si>
    <t>OD262BHP12</t>
  </si>
  <si>
    <t>OD262BHP13</t>
  </si>
  <si>
    <t>OD252BHP72</t>
  </si>
  <si>
    <t>OD262BHP72</t>
  </si>
  <si>
    <t>OD262BHP01</t>
  </si>
  <si>
    <t>OD262BDP14</t>
  </si>
  <si>
    <t>OD262BDP73</t>
  </si>
  <si>
    <t>OD252ONR03</t>
  </si>
  <si>
    <t>OD252BHP03</t>
  </si>
  <si>
    <t>OD262ONR02</t>
  </si>
  <si>
    <t>OD262BHP02</t>
  </si>
  <si>
    <t>OD262EOP71</t>
  </si>
  <si>
    <t>OD267SST35</t>
  </si>
  <si>
    <t>OD252EOP72</t>
  </si>
  <si>
    <t>OD252EOP71</t>
  </si>
  <si>
    <t>OD252ESW02</t>
  </si>
  <si>
    <t>OD262ESW01</t>
  </si>
  <si>
    <t>OD262ESW02</t>
  </si>
  <si>
    <t>OD252ESW03</t>
  </si>
  <si>
    <t>OD262ESW03</t>
  </si>
  <si>
    <t>OD252ESW04</t>
  </si>
  <si>
    <t>OD262ESW04</t>
  </si>
  <si>
    <t>OD267OJK66</t>
  </si>
  <si>
    <t>OD262OJK01</t>
  </si>
  <si>
    <t>OD261ILS02</t>
  </si>
  <si>
    <t>OD261ILS04</t>
  </si>
  <si>
    <t>OD261ILS71</t>
  </si>
  <si>
    <t>OD260AAC01</t>
  </si>
  <si>
    <t>OD250AAB01</t>
  </si>
  <si>
    <t>OD250AAB02</t>
  </si>
  <si>
    <t>OD250AAO01</t>
  </si>
  <si>
    <t>OD250AAO02</t>
  </si>
  <si>
    <t>OD255AAO01</t>
  </si>
  <si>
    <t>OD255AAO02</t>
  </si>
  <si>
    <t>OD267ISS85_BLU</t>
  </si>
  <si>
    <t>OD267ISS85_CHC</t>
  </si>
  <si>
    <t>OD267ISS85_WHT</t>
  </si>
  <si>
    <t>OD267BHP48_BEI</t>
  </si>
  <si>
    <t>OD267BHP48_DNY</t>
  </si>
  <si>
    <t>OD267BHP48_GRN</t>
  </si>
  <si>
    <t>OD267BPT16_BEI</t>
  </si>
  <si>
    <t>OD267BPT16_KHA</t>
  </si>
  <si>
    <t>OD267BPT16_NVY</t>
  </si>
  <si>
    <t>OD267SST35_CHC</t>
  </si>
  <si>
    <t>OD267SST35_MLG</t>
  </si>
  <si>
    <t>OD267OJK66_BEI</t>
  </si>
  <si>
    <t>OD267OJK66_BLK</t>
  </si>
  <si>
    <t>OD267OJK66_LGY</t>
  </si>
  <si>
    <t>■ 적용 쿠폰</t>
  </si>
  <si>
    <t>1. 차일디' 카카오톡 플러스 친구 추가시, 2천원 쿠폰 발급</t>
  </si>
  <si>
    <t xml:space="preserve"> 2. 장바구니 쿠폰</t>
  </si>
  <si>
    <t>3. 라이브 전용 혜택 : 카카오페이 머니로 1만원 이상 결제 시 7% 할인 (최대 2만원, 횟수 제한 없음)</t>
  </si>
  <si>
    <t xml:space="preserve"> - 1차. 차일디 2천원 할인쿠폰 : 20,000원</t>
  </si>
  <si>
    <t xml:space="preserve"> - 2차. 카카오 5% 할인쿠폰 : 19,000원 </t>
  </si>
  <si>
    <t xml:space="preserve"> - 3차. 카카오머니 결제시 7% 할인 : 17,670원 </t>
  </si>
  <si>
    <t>4. 예시 : 22,000원 상품 구매시 최종 17,670원 구매</t>
  </si>
  <si>
    <t>쿠폰가</t>
  </si>
  <si>
    <t>톡딜가</t>
  </si>
  <si>
    <t>재고</t>
  </si>
  <si>
    <t>OD261ILS02_BLK</t>
  </si>
  <si>
    <t>5. 초록음영 = 상품의 대표 컬러/바닥컷 폴더링 완료</t>
  </si>
  <si>
    <t xml:space="preserve"> - G:\공유 드라이브\Childy\05. 상품운영 MD\MD팀_공유폴더\PB 관리자료\채널별\카카오톡스토어\2026\0806\톡딜 진행이미지</t>
  </si>
  <si>
    <t xml:space="preserve"> - 백그래픽 있는 상품은 이미지 앞/뒷면 모두 취합(ex. 2-1, 2-2) 뒷면 그래픽은 하단에 원형 누끼로 노출되도록 요청 </t>
  </si>
  <si>
    <t xml:space="preserve"> - 코스트코 반품상품(OD267) 별도의 바닥컷 없어 호리즌컷으로 취합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</si>
</sst>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u/>
      <sz val="11"/>
      <color theme="10"/>
      <name val="맑은 고딕"/>
      <family val="2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rgb="FF0070C0"/>
      <name val="Arial"/>
      <family val="2"/>
    </font>
    <font>
      <b/>
      <sz val="11"/>
      <color theme="0"/>
      <name val="맑은 고딕"/>
      <family val="3"/>
      <charset val="129"/>
    </font>
    <font>
      <sz val="1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/>
      <diagonal/>
    </border>
    <border>
      <left/>
      <right style="thin">
        <color indexed="64"/>
      </right>
      <top style="thin">
        <color theme="2" tint="-0.2499465926084170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/>
    <xf numFmtId="0" fontId="8" fillId="4" borderId="3" xfId="0" applyFont="1" applyFill="1" applyBorder="1"/>
    <xf numFmtId="0" fontId="8" fillId="4" borderId="4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/>
    </xf>
    <xf numFmtId="0" fontId="3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6" borderId="5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3" fontId="0" fillId="0" borderId="0" xfId="0" applyNumberFormat="1"/>
    <xf numFmtId="3" fontId="10" fillId="6" borderId="5" xfId="0" applyNumberFormat="1" applyFon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3" fontId="0" fillId="7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3" fontId="0" fillId="7" borderId="18" xfId="0" applyNumberFormat="1" applyFill="1" applyBorder="1" applyAlignment="1">
      <alignment horizontal="center"/>
    </xf>
    <xf numFmtId="9" fontId="0" fillId="7" borderId="18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3" fontId="0" fillId="7" borderId="15" xfId="0" applyNumberFormat="1" applyFill="1" applyBorder="1" applyAlignment="1">
      <alignment horizontal="center"/>
    </xf>
    <xf numFmtId="9" fontId="0" fillId="7" borderId="15" xfId="0" applyNumberForma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3" fontId="0" fillId="7" borderId="5" xfId="0" applyNumberFormat="1" applyFill="1" applyBorder="1" applyAlignment="1">
      <alignment horizontal="center"/>
    </xf>
    <xf numFmtId="9" fontId="0" fillId="7" borderId="5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3" fontId="0" fillId="7" borderId="19" xfId="0" applyNumberFormat="1" applyFill="1" applyBorder="1" applyAlignment="1">
      <alignment horizontal="center"/>
    </xf>
    <xf numFmtId="9" fontId="0" fillId="7" borderId="19" xfId="0" applyNumberFormat="1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3" fontId="0" fillId="7" borderId="20" xfId="0" applyNumberFormat="1" applyFill="1" applyBorder="1" applyAlignment="1">
      <alignment horizontal="center"/>
    </xf>
    <xf numFmtId="9" fontId="0" fillId="7" borderId="20" xfId="0" applyNumberFormat="1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3" fontId="0" fillId="7" borderId="21" xfId="0" applyNumberFormat="1" applyFill="1" applyBorder="1" applyAlignment="1">
      <alignment horizontal="center"/>
    </xf>
    <xf numFmtId="9" fontId="0" fillId="7" borderId="21" xfId="0" applyNumberForma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3" fontId="0" fillId="0" borderId="29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9" fontId="0" fillId="0" borderId="15" xfId="0" applyNumberForma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5" xfId="0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1" fillId="0" borderId="29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0" borderId="0" xfId="0" applyFont="1" applyFill="1" applyAlignment="1">
      <alignment vertical="center"/>
    </xf>
    <xf numFmtId="3" fontId="0" fillId="0" borderId="0" xfId="0" applyNumberFormat="1" applyFill="1"/>
    <xf numFmtId="3" fontId="6" fillId="7" borderId="0" xfId="0" applyNumberFormat="1" applyFont="1" applyFill="1"/>
  </cellXfs>
  <cellStyles count="2">
    <cellStyle name="표준" xfId="0" builtinId="0"/>
    <cellStyle name="하이퍼링크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252413</xdr:colOff>
      <xdr:row>1</xdr:row>
      <xdr:rowOff>28575</xdr:rowOff>
    </xdr:from>
    <xdr:to>
      <xdr:col>7</xdr:col>
      <xdr:colOff>492839</xdr:colOff>
      <xdr:row>22</xdr:row>
      <xdr:rowOff>58140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0E59C8-F0A2-BB37-9033-38D59070B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4213" y="161925"/>
          <a:ext cx="1726326" cy="4315815"/>
        </a:xfrm>
        <a:prstGeom prst="rect">
          <a:avLst/>
        </a:prstGeom>
      </xdr:spPr>
    </xdr:pic>
    <xdr:clientData/>
  </xdr:twoCellAnchor>
  <xdr:twoCellAnchor>
    <xdr:from>
      <xdr:col>7</xdr:col>
      <xdr:colOff>651626</xdr:colOff>
      <xdr:row>1</xdr:row>
      <xdr:rowOff>95250</xdr:rowOff>
    </xdr:from>
    <xdr:to>
      <xdr:col>8</xdr:col>
      <xdr:colOff>893726</xdr:colOff>
      <xdr:row>21</xdr:row>
      <xdr:rowOff>123286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BD52C1-754A-155D-69FA-50852BC60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9326" y="228600"/>
          <a:ext cx="1728000" cy="41047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2947989</xdr:colOff>
      <xdr:row>1</xdr:row>
      <xdr:rowOff>157163</xdr:rowOff>
    </xdr:from>
    <xdr:to>
      <xdr:col>6</xdr:col>
      <xdr:colOff>1171576</xdr:colOff>
      <xdr:row>6</xdr:row>
      <xdr:rowOff>128588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B614AB3-AE22-FA63-7BEC-9FF17DE0E3C8}"/>
            </a:ext>
          </a:extLst>
        </xdr:cNvPr>
        <xdr:cNvGrpSpPr/>
      </xdr:nvGrpSpPr>
      <xdr:grpSpPr>
        <a:xfrm>
          <a:off x="7805739" y="266020"/>
          <a:ext cx="2591480" cy="1032782"/>
          <a:chOff x="7091364" y="357188"/>
          <a:chExt cx="2595562" cy="1057275"/>
        </a:xfrm>
        <a:solidFill>
          <a:schemeClr val="accent5">
            <a:lumMod val="75000"/>
          </a:schemeClr>
        </a:solidFill>
      </xdr:grpSpPr>
      <xdr:sp macro="" textlink="">
        <xdr:nvSpPr>
          <xdr:cNvPr id="3" name="순서도: 다른 페이지 연결선 2">
            <a:extLst>
              <a:ext uri="{FF2B5EF4-FFF2-40B4-BE49-F238E27FC236}">
                <a16:creationId xmlns:a16="http://schemas.microsoft.com/office/drawing/2014/main" id="{754870A8-F5A2-3EC1-DBF6-9215776916AD}"/>
              </a:ext>
            </a:extLst>
          </xdr:cNvPr>
          <xdr:cNvSpPr/>
        </xdr:nvSpPr>
        <xdr:spPr>
          <a:xfrm rot="5400000">
            <a:off x="7860507" y="-411955"/>
            <a:ext cx="1057275" cy="2595562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E0C599E-B48E-F7D2-D0EE-35E49856CF5E}"/>
              </a:ext>
            </a:extLst>
          </xdr:cNvPr>
          <xdr:cNvSpPr txBox="1"/>
        </xdr:nvSpPr>
        <xdr:spPr>
          <a:xfrm>
            <a:off x="7486650" y="361948"/>
            <a:ext cx="2095500" cy="1028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bg1"/>
                </a:solidFill>
              </a:rPr>
              <a:t>[</a:t>
            </a:r>
            <a:r>
              <a:rPr lang="ko-KR" altLang="en-US" sz="1300" b="1">
                <a:solidFill>
                  <a:schemeClr val="bg1"/>
                </a:solidFill>
              </a:rPr>
              <a:t>가격명 노출</a:t>
            </a:r>
            <a:r>
              <a:rPr lang="en-US" altLang="ko-KR" sz="1300" b="1">
                <a:solidFill>
                  <a:schemeClr val="bg1"/>
                </a:solidFill>
              </a:rPr>
              <a:t>]</a:t>
            </a:r>
            <a:endParaRPr lang="en-US" sz="1300" b="1">
              <a:solidFill>
                <a:schemeClr val="bg1"/>
              </a:solidFill>
            </a:endParaRPr>
          </a:p>
          <a:p>
            <a:pPr algn="ctr"/>
            <a:r>
              <a:rPr lang="en-US" sz="1300" b="1">
                <a:solidFill>
                  <a:schemeClr val="bg1"/>
                </a:solidFill>
              </a:rPr>
              <a:t>1</a:t>
            </a:r>
            <a:r>
              <a:rPr lang="ko-KR" altLang="en-US" sz="1300" b="1">
                <a:solidFill>
                  <a:schemeClr val="bg1"/>
                </a:solidFill>
              </a:rPr>
              <a:t>만원대</a:t>
            </a:r>
            <a:r>
              <a:rPr lang="ko-KR" altLang="en-US" sz="1300" b="1" baseline="0">
                <a:solidFill>
                  <a:schemeClr val="bg1"/>
                </a:solidFill>
              </a:rPr>
              <a:t>  </a:t>
            </a:r>
            <a:r>
              <a:rPr lang="en-US" altLang="ko-KR" sz="1300" b="1" baseline="0">
                <a:solidFill>
                  <a:schemeClr val="bg1"/>
                </a:solidFill>
              </a:rPr>
              <a:t>= </a:t>
            </a:r>
            <a:r>
              <a:rPr lang="ko-KR" altLang="en-US" sz="1300" b="1" baseline="0">
                <a:solidFill>
                  <a:schemeClr val="bg1"/>
                </a:solidFill>
              </a:rPr>
              <a:t>톡딜가 </a:t>
            </a:r>
            <a:endParaRPr lang="en-US" altLang="ko-KR" sz="1300" b="1" baseline="0">
              <a:solidFill>
                <a:schemeClr val="bg1"/>
              </a:solidFill>
            </a:endParaRPr>
          </a:p>
          <a:p>
            <a:pPr algn="ctr"/>
            <a:r>
              <a:rPr lang="en-US" sz="1300" b="1" baseline="0">
                <a:solidFill>
                  <a:schemeClr val="bg1"/>
                </a:solidFill>
              </a:rPr>
              <a:t>2</a:t>
            </a:r>
            <a:r>
              <a:rPr lang="ko-KR" altLang="en-US" sz="1300" b="1" baseline="0">
                <a:solidFill>
                  <a:schemeClr val="bg1"/>
                </a:solidFill>
              </a:rPr>
              <a:t>만원 이상</a:t>
            </a:r>
            <a:r>
              <a:rPr lang="en-US" altLang="ko-KR" sz="1300" b="1" baseline="0">
                <a:solidFill>
                  <a:schemeClr val="bg1"/>
                </a:solidFill>
              </a:rPr>
              <a:t> = </a:t>
            </a:r>
            <a:r>
              <a:rPr lang="ko-KR" altLang="en-US" sz="1300" b="1" baseline="0">
                <a:solidFill>
                  <a:schemeClr val="bg1"/>
                </a:solidFill>
              </a:rPr>
              <a:t>쿠폰가</a:t>
            </a:r>
            <a:endParaRPr lang="en-US" altLang="ko-KR" sz="1300" b="1" baseline="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10</xdr:col>
      <xdr:colOff>353786</xdr:colOff>
      <xdr:row>1</xdr:row>
      <xdr:rowOff>40820</xdr:rowOff>
    </xdr:from>
    <xdr:to>
      <xdr:col>16</xdr:col>
      <xdr:colOff>272143</xdr:colOff>
      <xdr:row>18</xdr:row>
      <xdr:rowOff>360421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ABBD561-E39D-E032-6DAA-7D0143EC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62715" y="149677"/>
          <a:ext cx="4000499" cy="3707780"/>
        </a:xfrm>
        <a:prstGeom prst="rect">
          <a:avLst/>
        </a:prstGeom>
      </xdr:spPr>
    </xdr:pic>
    <xdr:clientData/>
  </xdr:twoCellAnchor>
  <xdr:twoCellAnchor editAs="oneCell">
    <xdr:from>
      <xdr:col>6</xdr:col>
      <xdr:colOff>530679</xdr:colOff>
      <xdr:row>8</xdr:row>
      <xdr:rowOff>54428</xdr:rowOff>
    </xdr:from>
    <xdr:to>
      <xdr:col>6</xdr:col>
      <xdr:colOff>1779894</xdr:colOff>
      <xdr:row>17</xdr:row>
      <xdr:rowOff>71363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6A14CD-B0FE-713E-A429-5ED3AEAFE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6322" y="1632857"/>
          <a:ext cx="1249215" cy="1731435"/>
        </a:xfrm>
        <a:prstGeom prst="rect">
          <a:avLst/>
        </a:prstGeom>
        <a:ln w="28575">
          <a:solidFill>
            <a:srgbClr val="FF0000"/>
          </a:solidFill>
          <a:prstDash val="sysDash"/>
        </a:ln>
      </xdr:spPr>
    </xdr:pic>
    <xdr:clientData/>
  </xdr:twoCellAnchor>
  <xdr:twoCellAnchor>
    <xdr:from>
      <xdr:col>5</xdr:col>
      <xdr:colOff>2680607</xdr:colOff>
      <xdr:row>15</xdr:row>
      <xdr:rowOff>95251</xdr:rowOff>
    </xdr:from>
    <xdr:to>
      <xdr:col>6</xdr:col>
      <xdr:colOff>326571</xdr:colOff>
      <xdr:row>15</xdr:row>
      <xdr:rowOff>95251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6AE9D26D-E02A-B299-53E2-BC9041815AA4}"/>
            </a:ext>
          </a:extLst>
        </xdr:cNvPr>
        <xdr:cNvCxnSpPr/>
      </xdr:nvCxnSpPr>
      <xdr:spPr>
        <a:xfrm>
          <a:off x="7538357" y="2979965"/>
          <a:ext cx="201385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44277;&#50976;%20&#46300;&#46972;&#51060;&#48652;\Childy\05.%20&#49345;&#54408;&#50868;&#50689;%20MD\MD&#54016;_&#44277;&#50976;&#54260;&#45908;\PB%20&#44288;&#47532;&#51088;&#47308;\&#52292;&#45328;&#48324;\&#52852;&#52852;&#50724;&#53665;&#49828;&#53664;&#50612;\2026\0806\1.%2020260806_&#52852;&#49660;&#46972;_0806_&#53665;&#46364;&amp;&#52852;&#49660;&#46972;.xlsx" TargetMode="External"/><Relationship Id="rId1" Type="http://schemas.openxmlformats.org/officeDocument/2006/relationships/externalLinkPath" Target="1.%2020260806_&#52852;&#49660;&#46972;_0806_&#53665;&#46364;&amp;&#52852;&#49660;&#469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진열"/>
      <sheetName val="견적서 LIST"/>
      <sheetName val="Sheet1"/>
      <sheetName val="EMP_현재고"/>
      <sheetName val="세원_ERP_원가"/>
      <sheetName val="채널 월간 판매량"/>
      <sheetName val="...."/>
      <sheetName val="마스터 3.14"/>
      <sheetName val="주문수집"/>
    </sheetNames>
    <sheetDataSet>
      <sheetData sheetId="0"/>
      <sheetData sheetId="1">
        <row r="11">
          <cell r="E11" t="str">
            <v>대표품번</v>
          </cell>
        </row>
        <row r="12">
          <cell r="E12" t="str">
            <v>OD262ISS02</v>
          </cell>
          <cell r="N12">
            <v>15000</v>
          </cell>
        </row>
        <row r="13">
          <cell r="E13" t="str">
            <v>OD262ISS04</v>
          </cell>
          <cell r="N13">
            <v>15000</v>
          </cell>
        </row>
        <row r="14">
          <cell r="E14" t="str">
            <v>OD262ISS06</v>
          </cell>
          <cell r="N14">
            <v>17000</v>
          </cell>
        </row>
        <row r="15">
          <cell r="E15" t="str">
            <v>OD262ISS15</v>
          </cell>
          <cell r="N15">
            <v>17000</v>
          </cell>
        </row>
        <row r="16">
          <cell r="E16" t="str">
            <v>OD262ISS10</v>
          </cell>
          <cell r="N16">
            <v>23000</v>
          </cell>
        </row>
        <row r="17">
          <cell r="E17" t="str">
            <v>OD262ISS07</v>
          </cell>
          <cell r="N17">
            <v>17000</v>
          </cell>
        </row>
        <row r="18">
          <cell r="E18" t="str">
            <v>OD262ISS21</v>
          </cell>
          <cell r="N18">
            <v>15500</v>
          </cell>
        </row>
        <row r="19">
          <cell r="E19" t="str">
            <v>OD262ISS22</v>
          </cell>
          <cell r="N19">
            <v>15500</v>
          </cell>
        </row>
        <row r="20">
          <cell r="E20" t="str">
            <v>OD262ISS23</v>
          </cell>
          <cell r="N20">
            <v>21000</v>
          </cell>
        </row>
        <row r="21">
          <cell r="E21" t="str">
            <v>OD262ISS71</v>
          </cell>
          <cell r="N21">
            <v>21000</v>
          </cell>
        </row>
        <row r="22">
          <cell r="E22" t="str">
            <v>OD262ISS93</v>
          </cell>
          <cell r="N22">
            <v>17000</v>
          </cell>
        </row>
        <row r="23">
          <cell r="E23" t="str">
            <v>OD262ISS91</v>
          </cell>
          <cell r="N23">
            <v>14000</v>
          </cell>
        </row>
        <row r="24">
          <cell r="E24" t="str">
            <v>OD262ISS92</v>
          </cell>
          <cell r="N24">
            <v>15000</v>
          </cell>
        </row>
        <row r="25">
          <cell r="E25" t="str">
            <v>OD262ITK24</v>
          </cell>
          <cell r="N25">
            <v>19000</v>
          </cell>
        </row>
        <row r="26">
          <cell r="E26" t="str">
            <v>OD262BHP11</v>
          </cell>
          <cell r="N26">
            <v>23000</v>
          </cell>
        </row>
        <row r="27">
          <cell r="E27" t="str">
            <v>OD262BHP03</v>
          </cell>
          <cell r="N27">
            <v>17000</v>
          </cell>
        </row>
        <row r="28">
          <cell r="E28" t="str">
            <v>OD262BHP04</v>
          </cell>
          <cell r="N28">
            <v>20000</v>
          </cell>
        </row>
        <row r="29">
          <cell r="E29" t="str">
            <v>OD262BHP05</v>
          </cell>
          <cell r="N29">
            <v>15500</v>
          </cell>
        </row>
        <row r="30">
          <cell r="E30" t="str">
            <v>OD262BHP15</v>
          </cell>
          <cell r="N30">
            <v>27000</v>
          </cell>
        </row>
        <row r="31">
          <cell r="E31" t="str">
            <v>OD262EOP71</v>
          </cell>
          <cell r="N31">
            <v>31000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tore.kakao.com/milkbaby/products/40876978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9713-B287-4F3C-A874-E2D43C1B6684}">
  <sheetPr>
    <tabColor rgb="FFFFFF00"/>
  </sheetPr>
  <dimension ref="B1:D23"/>
  <sheetViews>
    <sheetView showGridLines="0" workbookViewId="0">
      <selection activeCell="F17" sqref="F17"/>
    </sheetView>
  </sheetViews>
  <sheetFormatPr defaultRowHeight="16.5" x14ac:dyDescent="0.3"/>
  <cols>
    <col min="1" max="1" width="2" customWidth="1"/>
    <col min="3" max="9" width="19.5" customWidth="1"/>
  </cols>
  <sheetData>
    <row r="1" spans="2:4" ht="10.5" customHeight="1" x14ac:dyDescent="0.3"/>
    <row r="2" spans="2:4" ht="19.5" x14ac:dyDescent="0.35">
      <c r="B2" s="5" t="s">
        <v>6</v>
      </c>
      <c r="C2" s="6"/>
      <c r="D2" s="6"/>
    </row>
    <row r="3" spans="2:4" x14ac:dyDescent="0.3">
      <c r="B3" s="1" t="s">
        <v>5</v>
      </c>
    </row>
    <row r="5" spans="2:4" ht="19.5" x14ac:dyDescent="0.35">
      <c r="B5" s="5" t="s">
        <v>7</v>
      </c>
      <c r="C5" s="6"/>
      <c r="D5" s="6"/>
    </row>
    <row r="6" spans="2:4" x14ac:dyDescent="0.3">
      <c r="B6" s="4" t="s">
        <v>12</v>
      </c>
    </row>
    <row r="7" spans="2:4" ht="9" customHeight="1" x14ac:dyDescent="0.3">
      <c r="B7" s="4"/>
    </row>
    <row r="8" spans="2:4" x14ac:dyDescent="0.3">
      <c r="B8" s="4" t="s">
        <v>13</v>
      </c>
    </row>
    <row r="9" spans="2:4" x14ac:dyDescent="0.3">
      <c r="B9" t="s">
        <v>8</v>
      </c>
    </row>
    <row r="10" spans="2:4" x14ac:dyDescent="0.3">
      <c r="B10" t="s">
        <v>9</v>
      </c>
    </row>
    <row r="11" spans="2:4" x14ac:dyDescent="0.3">
      <c r="B11" t="s">
        <v>14</v>
      </c>
    </row>
    <row r="12" spans="2:4" x14ac:dyDescent="0.3">
      <c r="B12" t="s">
        <v>15</v>
      </c>
    </row>
    <row r="13" spans="2:4" x14ac:dyDescent="0.3">
      <c r="B13" t="s">
        <v>16</v>
      </c>
    </row>
    <row r="14" spans="2:4" ht="9" customHeight="1" x14ac:dyDescent="0.3">
      <c r="B14" s="4"/>
    </row>
    <row r="15" spans="2:4" x14ac:dyDescent="0.3">
      <c r="B15" s="4" t="s">
        <v>17</v>
      </c>
    </row>
    <row r="16" spans="2:4" x14ac:dyDescent="0.3">
      <c r="B16" t="s">
        <v>22</v>
      </c>
    </row>
    <row r="17" spans="2:2" x14ac:dyDescent="0.3">
      <c r="B17" t="s">
        <v>23</v>
      </c>
    </row>
    <row r="18" spans="2:2" x14ac:dyDescent="0.3">
      <c r="B18" s="3" t="s">
        <v>21</v>
      </c>
    </row>
    <row r="19" spans="2:2" x14ac:dyDescent="0.3">
      <c r="B19" s="3" t="s">
        <v>18</v>
      </c>
    </row>
    <row r="20" spans="2:2" x14ac:dyDescent="0.3">
      <c r="B20" s="3" t="s">
        <v>19</v>
      </c>
    </row>
    <row r="21" spans="2:2" x14ac:dyDescent="0.3">
      <c r="B21" s="3" t="s">
        <v>20</v>
      </c>
    </row>
    <row r="22" spans="2:2" x14ac:dyDescent="0.3">
      <c r="B22" s="3" t="s">
        <v>24</v>
      </c>
    </row>
    <row r="23" spans="2:2" x14ac:dyDescent="0.3">
      <c r="B23" s="3" t="s">
        <v>25</v>
      </c>
    </row>
  </sheetData>
  <hyperlinks>
    <hyperlink ref="B3" r:id="rId1" xr:uid="{6323DBE9-7A8E-454D-9951-075871D1A1D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2FC9-0FFC-42C0-A7CA-AEC8C08CE1D3}">
  <sheetPr>
    <tabColor rgb="FFFFFF00"/>
  </sheetPr>
  <dimension ref="A1:J239"/>
  <sheetViews>
    <sheetView showGridLines="0" tabSelected="1" zoomScale="70" zoomScaleNormal="70" workbookViewId="0">
      <pane ySplit="19" topLeftCell="A20" activePane="bottomLeft" state="frozen"/>
      <selection pane="bottomLeft" activeCell="H12" sqref="H12"/>
    </sheetView>
  </sheetViews>
  <sheetFormatPr defaultRowHeight="16.5" x14ac:dyDescent="0.3"/>
  <cols>
    <col min="1" max="1" width="3.25" style="99" customWidth="1"/>
    <col min="2" max="2" width="9.5" style="99" customWidth="1"/>
    <col min="3" max="3" width="13.125" style="22" bestFit="1" customWidth="1"/>
    <col min="4" max="4" width="18.875" style="22" bestFit="1" customWidth="1"/>
    <col min="5" max="5" width="18.875" style="22" customWidth="1"/>
    <col min="6" max="6" width="57.375" style="22" bestFit="1" customWidth="1"/>
    <col min="7" max="9" width="25.5" style="34" customWidth="1"/>
    <col min="10" max="10" width="25.5" customWidth="1"/>
    <col min="11" max="16384" width="9" style="99"/>
  </cols>
  <sheetData>
    <row r="1" spans="1:10" ht="8.25" customHeight="1" x14ac:dyDescent="0.3">
      <c r="A1"/>
      <c r="B1"/>
    </row>
    <row r="2" spans="1:10" ht="19.5" x14ac:dyDescent="0.35">
      <c r="A2"/>
      <c r="B2" s="5" t="s">
        <v>506</v>
      </c>
      <c r="C2" s="43"/>
      <c r="D2" s="43"/>
      <c r="E2" s="43"/>
    </row>
    <row r="3" spans="1:10" x14ac:dyDescent="0.3">
      <c r="A3"/>
      <c r="B3" s="4" t="s">
        <v>507</v>
      </c>
    </row>
    <row r="4" spans="1:10" x14ac:dyDescent="0.3">
      <c r="A4"/>
      <c r="B4" s="2" t="s">
        <v>508</v>
      </c>
    </row>
    <row r="5" spans="1:10" x14ac:dyDescent="0.3">
      <c r="A5"/>
      <c r="B5" s="3" t="s">
        <v>18</v>
      </c>
    </row>
    <row r="6" spans="1:10" x14ac:dyDescent="0.3">
      <c r="A6"/>
      <c r="B6" s="3" t="s">
        <v>19</v>
      </c>
    </row>
    <row r="7" spans="1:10" x14ac:dyDescent="0.3">
      <c r="A7"/>
      <c r="B7" s="3" t="s">
        <v>20</v>
      </c>
    </row>
    <row r="8" spans="1:10" x14ac:dyDescent="0.3">
      <c r="A8"/>
      <c r="B8" s="2" t="s">
        <v>509</v>
      </c>
    </row>
    <row r="9" spans="1:10" x14ac:dyDescent="0.3">
      <c r="A9"/>
      <c r="B9" s="24" t="s">
        <v>513</v>
      </c>
      <c r="C9" s="44"/>
      <c r="D9" s="44"/>
      <c r="E9" s="44"/>
      <c r="F9" s="44"/>
    </row>
    <row r="10" spans="1:10" x14ac:dyDescent="0.3">
      <c r="A10"/>
      <c r="B10" s="23" t="s">
        <v>510</v>
      </c>
      <c r="C10" s="44"/>
      <c r="D10" s="44"/>
      <c r="E10" s="44"/>
      <c r="F10" s="44"/>
    </row>
    <row r="11" spans="1:10" x14ac:dyDescent="0.3">
      <c r="A11"/>
      <c r="B11" s="23" t="s">
        <v>511</v>
      </c>
      <c r="C11" s="44"/>
      <c r="D11" s="44"/>
      <c r="E11" s="44"/>
      <c r="F11" s="44"/>
    </row>
    <row r="12" spans="1:10" x14ac:dyDescent="0.3">
      <c r="A12"/>
      <c r="B12" s="23" t="s">
        <v>512</v>
      </c>
      <c r="C12" s="44"/>
      <c r="D12" s="44"/>
      <c r="E12" s="44"/>
      <c r="F12" s="44"/>
    </row>
    <row r="13" spans="1:10" ht="6" customHeight="1" x14ac:dyDescent="0.3">
      <c r="B13" s="118"/>
      <c r="C13" s="100"/>
      <c r="D13" s="100"/>
      <c r="E13" s="100"/>
      <c r="F13" s="100"/>
      <c r="G13" s="119"/>
      <c r="H13" s="119"/>
      <c r="I13" s="119"/>
      <c r="J13" s="99"/>
    </row>
    <row r="14" spans="1:10" x14ac:dyDescent="0.3">
      <c r="B14" s="120" t="s">
        <v>518</v>
      </c>
      <c r="C14" s="117"/>
      <c r="D14" s="117"/>
      <c r="E14" s="117"/>
      <c r="F14" s="100"/>
      <c r="G14" s="119"/>
      <c r="H14" s="119"/>
      <c r="I14" s="119"/>
      <c r="J14" s="99"/>
    </row>
    <row r="15" spans="1:10" x14ac:dyDescent="0.3">
      <c r="A15"/>
      <c r="B15" s="118" t="s">
        <v>519</v>
      </c>
      <c r="F15" s="34"/>
    </row>
    <row r="16" spans="1:10" x14ac:dyDescent="0.3">
      <c r="A16"/>
      <c r="B16" s="118" t="s">
        <v>520</v>
      </c>
      <c r="F16" s="34"/>
    </row>
    <row r="17" spans="1:10" x14ac:dyDescent="0.3">
      <c r="A17"/>
      <c r="B17" s="3" t="s">
        <v>521</v>
      </c>
    </row>
    <row r="18" spans="1:10" x14ac:dyDescent="0.3">
      <c r="A18"/>
      <c r="B18" s="3"/>
    </row>
    <row r="19" spans="1:10" s="100" customFormat="1" ht="32.25" customHeight="1" x14ac:dyDescent="0.3">
      <c r="A19" s="22"/>
      <c r="B19" s="28" t="s">
        <v>10</v>
      </c>
      <c r="C19" s="28" t="s">
        <v>1</v>
      </c>
      <c r="D19" s="28" t="s">
        <v>11</v>
      </c>
      <c r="E19" s="28" t="s">
        <v>516</v>
      </c>
      <c r="F19" s="28" t="s">
        <v>0</v>
      </c>
      <c r="G19" s="35" t="s">
        <v>3</v>
      </c>
      <c r="H19" s="35" t="s">
        <v>515</v>
      </c>
      <c r="I19" s="35" t="s">
        <v>514</v>
      </c>
      <c r="J19" s="29" t="s">
        <v>4</v>
      </c>
    </row>
    <row r="20" spans="1:10" x14ac:dyDescent="0.3">
      <c r="B20" s="101">
        <v>1</v>
      </c>
      <c r="C20" s="45" t="s">
        <v>403</v>
      </c>
      <c r="D20" s="25" t="s">
        <v>54</v>
      </c>
      <c r="E20" s="25">
        <v>660</v>
      </c>
      <c r="F20" s="25" t="s">
        <v>269</v>
      </c>
      <c r="G20" s="36">
        <v>35000</v>
      </c>
      <c r="H20" s="36">
        <v>15000</v>
      </c>
      <c r="I20" s="36"/>
      <c r="J20" s="52">
        <f>1-H20/G20</f>
        <v>0.5714285714285714</v>
      </c>
    </row>
    <row r="21" spans="1:10" x14ac:dyDescent="0.3">
      <c r="B21" s="102">
        <v>1</v>
      </c>
      <c r="C21" s="59" t="s">
        <v>403</v>
      </c>
      <c r="D21" s="60" t="s">
        <v>56</v>
      </c>
      <c r="E21" s="60">
        <v>903</v>
      </c>
      <c r="F21" s="60" t="s">
        <v>269</v>
      </c>
      <c r="G21" s="61">
        <v>35000</v>
      </c>
      <c r="H21" s="61">
        <v>15000</v>
      </c>
      <c r="I21" s="61"/>
      <c r="J21" s="62">
        <f t="shared" ref="J21:J84" si="0">1-H21/G21</f>
        <v>0.5714285714285714</v>
      </c>
    </row>
    <row r="22" spans="1:10" x14ac:dyDescent="0.3">
      <c r="B22" s="102">
        <v>1</v>
      </c>
      <c r="C22" s="46" t="s">
        <v>403</v>
      </c>
      <c r="D22" s="30" t="s">
        <v>58</v>
      </c>
      <c r="E22" s="30">
        <v>286</v>
      </c>
      <c r="F22" s="30" t="s">
        <v>269</v>
      </c>
      <c r="G22" s="37">
        <v>35000</v>
      </c>
      <c r="H22" s="37">
        <v>15000</v>
      </c>
      <c r="I22" s="37"/>
      <c r="J22" s="53">
        <f t="shared" si="0"/>
        <v>0.5714285714285714</v>
      </c>
    </row>
    <row r="23" spans="1:10" x14ac:dyDescent="0.3">
      <c r="B23" s="102">
        <v>1</v>
      </c>
      <c r="C23" s="46" t="s">
        <v>403</v>
      </c>
      <c r="D23" s="30" t="s">
        <v>60</v>
      </c>
      <c r="E23" s="30">
        <v>1202</v>
      </c>
      <c r="F23" s="30" t="s">
        <v>269</v>
      </c>
      <c r="G23" s="37">
        <v>35000</v>
      </c>
      <c r="H23" s="37">
        <v>15000</v>
      </c>
      <c r="I23" s="37"/>
      <c r="J23" s="53">
        <f t="shared" si="0"/>
        <v>0.5714285714285714</v>
      </c>
    </row>
    <row r="24" spans="1:10" x14ac:dyDescent="0.3">
      <c r="B24" s="103">
        <v>1</v>
      </c>
      <c r="C24" s="47" t="s">
        <v>403</v>
      </c>
      <c r="D24" s="31" t="s">
        <v>62</v>
      </c>
      <c r="E24" s="31">
        <v>912</v>
      </c>
      <c r="F24" s="31" t="s">
        <v>269</v>
      </c>
      <c r="G24" s="38">
        <v>35000</v>
      </c>
      <c r="H24" s="38">
        <v>15000</v>
      </c>
      <c r="I24" s="38"/>
      <c r="J24" s="54">
        <f t="shared" si="0"/>
        <v>0.5714285714285714</v>
      </c>
    </row>
    <row r="25" spans="1:10" x14ac:dyDescent="0.3">
      <c r="B25" s="104">
        <v>2</v>
      </c>
      <c r="C25" s="63" t="s">
        <v>418</v>
      </c>
      <c r="D25" s="64" t="s">
        <v>40</v>
      </c>
      <c r="E25" s="64">
        <v>702</v>
      </c>
      <c r="F25" s="64" t="s">
        <v>296</v>
      </c>
      <c r="G25" s="65">
        <v>32000</v>
      </c>
      <c r="H25" s="65">
        <v>15000</v>
      </c>
      <c r="I25" s="65"/>
      <c r="J25" s="66">
        <f>1-H25/G25</f>
        <v>0.53125</v>
      </c>
    </row>
    <row r="26" spans="1:10" x14ac:dyDescent="0.3">
      <c r="B26" s="102">
        <v>16</v>
      </c>
      <c r="C26" s="46" t="s">
        <v>418</v>
      </c>
      <c r="D26" s="30" t="s">
        <v>42</v>
      </c>
      <c r="E26" s="30">
        <v>66</v>
      </c>
      <c r="F26" s="30" t="s">
        <v>296</v>
      </c>
      <c r="G26" s="37">
        <v>32000</v>
      </c>
      <c r="H26" s="37">
        <v>15000</v>
      </c>
      <c r="I26" s="37"/>
      <c r="J26" s="53">
        <f>1-H26/G26</f>
        <v>0.53125</v>
      </c>
    </row>
    <row r="27" spans="1:10" x14ac:dyDescent="0.3">
      <c r="B27" s="102">
        <v>16</v>
      </c>
      <c r="C27" s="46" t="s">
        <v>418</v>
      </c>
      <c r="D27" s="30" t="s">
        <v>44</v>
      </c>
      <c r="E27" s="30">
        <v>425</v>
      </c>
      <c r="F27" s="30" t="s">
        <v>296</v>
      </c>
      <c r="G27" s="37">
        <v>32000</v>
      </c>
      <c r="H27" s="37">
        <v>15000</v>
      </c>
      <c r="I27" s="37"/>
      <c r="J27" s="53">
        <f>1-H27/G27</f>
        <v>0.53125</v>
      </c>
    </row>
    <row r="28" spans="1:10" x14ac:dyDescent="0.3">
      <c r="B28" s="102">
        <v>16</v>
      </c>
      <c r="C28" s="46" t="s">
        <v>418</v>
      </c>
      <c r="D28" s="30" t="s">
        <v>46</v>
      </c>
      <c r="E28" s="30">
        <v>530</v>
      </c>
      <c r="F28" s="30" t="s">
        <v>296</v>
      </c>
      <c r="G28" s="37">
        <v>32000</v>
      </c>
      <c r="H28" s="37">
        <v>15000</v>
      </c>
      <c r="I28" s="37"/>
      <c r="J28" s="53">
        <f>1-H28/G28</f>
        <v>0.53125</v>
      </c>
    </row>
    <row r="29" spans="1:10" x14ac:dyDescent="0.3">
      <c r="B29" s="105">
        <v>16</v>
      </c>
      <c r="C29" s="49" t="s">
        <v>418</v>
      </c>
      <c r="D29" s="32" t="s">
        <v>48</v>
      </c>
      <c r="E29" s="32">
        <v>647</v>
      </c>
      <c r="F29" s="32" t="s">
        <v>296</v>
      </c>
      <c r="G29" s="40">
        <v>32000</v>
      </c>
      <c r="H29" s="40">
        <v>15000</v>
      </c>
      <c r="I29" s="40"/>
      <c r="J29" s="56">
        <f>1-H29/G29</f>
        <v>0.53125</v>
      </c>
    </row>
    <row r="30" spans="1:10" x14ac:dyDescent="0.3">
      <c r="B30" s="95">
        <v>3</v>
      </c>
      <c r="C30" s="45" t="s">
        <v>405</v>
      </c>
      <c r="D30" s="25" t="s">
        <v>112</v>
      </c>
      <c r="E30" s="25">
        <v>573</v>
      </c>
      <c r="F30" s="25" t="s">
        <v>324</v>
      </c>
      <c r="G30" s="36">
        <v>35000</v>
      </c>
      <c r="H30" s="36">
        <v>17000</v>
      </c>
      <c r="I30" s="36"/>
      <c r="J30" s="52">
        <f t="shared" si="0"/>
        <v>0.51428571428571423</v>
      </c>
    </row>
    <row r="31" spans="1:10" x14ac:dyDescent="0.3">
      <c r="B31" s="106">
        <v>3</v>
      </c>
      <c r="C31" s="46" t="s">
        <v>405</v>
      </c>
      <c r="D31" s="30" t="s">
        <v>114</v>
      </c>
      <c r="E31" s="30">
        <v>132</v>
      </c>
      <c r="F31" s="30" t="s">
        <v>324</v>
      </c>
      <c r="G31" s="37">
        <v>35000</v>
      </c>
      <c r="H31" s="37">
        <v>17000</v>
      </c>
      <c r="I31" s="37"/>
      <c r="J31" s="53">
        <f t="shared" si="0"/>
        <v>0.51428571428571423</v>
      </c>
    </row>
    <row r="32" spans="1:10" x14ac:dyDescent="0.3">
      <c r="B32" s="106">
        <v>3</v>
      </c>
      <c r="C32" s="46" t="s">
        <v>405</v>
      </c>
      <c r="D32" s="30" t="s">
        <v>116</v>
      </c>
      <c r="E32" s="30">
        <v>96</v>
      </c>
      <c r="F32" s="30" t="s">
        <v>324</v>
      </c>
      <c r="G32" s="37">
        <v>35000</v>
      </c>
      <c r="H32" s="37">
        <v>17000</v>
      </c>
      <c r="I32" s="37"/>
      <c r="J32" s="53">
        <f t="shared" si="0"/>
        <v>0.51428571428571423</v>
      </c>
    </row>
    <row r="33" spans="2:10" x14ac:dyDescent="0.3">
      <c r="B33" s="107">
        <v>3</v>
      </c>
      <c r="C33" s="67" t="s">
        <v>405</v>
      </c>
      <c r="D33" s="68" t="s">
        <v>118</v>
      </c>
      <c r="E33" s="68">
        <v>759</v>
      </c>
      <c r="F33" s="68" t="s">
        <v>324</v>
      </c>
      <c r="G33" s="69">
        <v>35000</v>
      </c>
      <c r="H33" s="69">
        <v>17000</v>
      </c>
      <c r="I33" s="69"/>
      <c r="J33" s="70">
        <f t="shared" si="0"/>
        <v>0.51428571428571423</v>
      </c>
    </row>
    <row r="34" spans="2:10" x14ac:dyDescent="0.3">
      <c r="B34" s="95">
        <v>4</v>
      </c>
      <c r="C34" s="45" t="s">
        <v>406</v>
      </c>
      <c r="D34" s="25" t="s">
        <v>138</v>
      </c>
      <c r="E34" s="25">
        <v>19</v>
      </c>
      <c r="F34" s="25" t="s">
        <v>271</v>
      </c>
      <c r="G34" s="36">
        <v>39000</v>
      </c>
      <c r="H34" s="36">
        <v>15000</v>
      </c>
      <c r="I34" s="36"/>
      <c r="J34" s="52">
        <f t="shared" si="0"/>
        <v>0.61538461538461542</v>
      </c>
    </row>
    <row r="35" spans="2:10" x14ac:dyDescent="0.3">
      <c r="B35" s="106">
        <v>4</v>
      </c>
      <c r="C35" s="59" t="s">
        <v>406</v>
      </c>
      <c r="D35" s="60" t="s">
        <v>140</v>
      </c>
      <c r="E35" s="60">
        <v>210</v>
      </c>
      <c r="F35" s="60" t="s">
        <v>271</v>
      </c>
      <c r="G35" s="61">
        <v>39000</v>
      </c>
      <c r="H35" s="61">
        <v>15000</v>
      </c>
      <c r="I35" s="61"/>
      <c r="J35" s="62">
        <f t="shared" si="0"/>
        <v>0.61538461538461542</v>
      </c>
    </row>
    <row r="36" spans="2:10" x14ac:dyDescent="0.3">
      <c r="B36" s="107">
        <v>4</v>
      </c>
      <c r="C36" s="47" t="s">
        <v>406</v>
      </c>
      <c r="D36" s="31" t="s">
        <v>142</v>
      </c>
      <c r="E36" s="31">
        <v>150</v>
      </c>
      <c r="F36" s="31" t="s">
        <v>271</v>
      </c>
      <c r="G36" s="38">
        <v>39000</v>
      </c>
      <c r="H36" s="38">
        <v>15000</v>
      </c>
      <c r="I36" s="38"/>
      <c r="J36" s="54">
        <f t="shared" si="0"/>
        <v>0.61538461538461542</v>
      </c>
    </row>
    <row r="37" spans="2:10" x14ac:dyDescent="0.3">
      <c r="B37" s="95">
        <v>5</v>
      </c>
      <c r="C37" s="71" t="s">
        <v>407</v>
      </c>
      <c r="D37" s="72" t="s">
        <v>126</v>
      </c>
      <c r="E37" s="72">
        <v>328</v>
      </c>
      <c r="F37" s="72" t="s">
        <v>272</v>
      </c>
      <c r="G37" s="73">
        <v>32000</v>
      </c>
      <c r="H37" s="73">
        <v>15000</v>
      </c>
      <c r="I37" s="73"/>
      <c r="J37" s="74">
        <f t="shared" si="0"/>
        <v>0.53125</v>
      </c>
    </row>
    <row r="38" spans="2:10" x14ac:dyDescent="0.3">
      <c r="B38" s="106">
        <v>5</v>
      </c>
      <c r="C38" s="46" t="s">
        <v>407</v>
      </c>
      <c r="D38" s="30" t="s">
        <v>128</v>
      </c>
      <c r="E38" s="30">
        <v>113</v>
      </c>
      <c r="F38" s="30" t="s">
        <v>272</v>
      </c>
      <c r="G38" s="37">
        <v>32000</v>
      </c>
      <c r="H38" s="37">
        <v>15000</v>
      </c>
      <c r="I38" s="37"/>
      <c r="J38" s="53">
        <f t="shared" si="0"/>
        <v>0.53125</v>
      </c>
    </row>
    <row r="39" spans="2:10" x14ac:dyDescent="0.3">
      <c r="B39" s="107">
        <v>5</v>
      </c>
      <c r="C39" s="47" t="s">
        <v>407</v>
      </c>
      <c r="D39" s="31" t="s">
        <v>130</v>
      </c>
      <c r="E39" s="31">
        <v>250</v>
      </c>
      <c r="F39" s="31" t="s">
        <v>272</v>
      </c>
      <c r="G39" s="38">
        <v>32000</v>
      </c>
      <c r="H39" s="38">
        <v>15000</v>
      </c>
      <c r="I39" s="38"/>
      <c r="J39" s="54">
        <f t="shared" si="0"/>
        <v>0.53125</v>
      </c>
    </row>
    <row r="40" spans="2:10" x14ac:dyDescent="0.3">
      <c r="B40" s="95">
        <v>6</v>
      </c>
      <c r="C40" s="45" t="s">
        <v>408</v>
      </c>
      <c r="D40" s="25" t="s">
        <v>132</v>
      </c>
      <c r="E40" s="25">
        <v>81</v>
      </c>
      <c r="F40" s="25" t="s">
        <v>273</v>
      </c>
      <c r="G40" s="36">
        <v>35000</v>
      </c>
      <c r="H40" s="36">
        <v>15000</v>
      </c>
      <c r="I40" s="36"/>
      <c r="J40" s="52">
        <f t="shared" si="0"/>
        <v>0.5714285714285714</v>
      </c>
    </row>
    <row r="41" spans="2:10" x14ac:dyDescent="0.3">
      <c r="B41" s="106">
        <v>6</v>
      </c>
      <c r="C41" s="46" t="s">
        <v>408</v>
      </c>
      <c r="D41" s="30" t="s">
        <v>134</v>
      </c>
      <c r="E41" s="30">
        <v>85</v>
      </c>
      <c r="F41" s="30" t="s">
        <v>273</v>
      </c>
      <c r="G41" s="37">
        <v>35000</v>
      </c>
      <c r="H41" s="37">
        <v>15000</v>
      </c>
      <c r="I41" s="37"/>
      <c r="J41" s="53">
        <f t="shared" si="0"/>
        <v>0.5714285714285714</v>
      </c>
    </row>
    <row r="42" spans="2:10" x14ac:dyDescent="0.3">
      <c r="B42" s="107">
        <v>6</v>
      </c>
      <c r="C42" s="67" t="s">
        <v>408</v>
      </c>
      <c r="D42" s="68" t="s">
        <v>136</v>
      </c>
      <c r="E42" s="68">
        <v>220</v>
      </c>
      <c r="F42" s="68" t="s">
        <v>273</v>
      </c>
      <c r="G42" s="69">
        <v>35000</v>
      </c>
      <c r="H42" s="69">
        <v>15000</v>
      </c>
      <c r="I42" s="69"/>
      <c r="J42" s="70">
        <f t="shared" si="0"/>
        <v>0.5714285714285714</v>
      </c>
    </row>
    <row r="43" spans="2:10" x14ac:dyDescent="0.3">
      <c r="B43" s="95">
        <v>7</v>
      </c>
      <c r="C43" s="45" t="s">
        <v>409</v>
      </c>
      <c r="D43" s="25" t="s">
        <v>227</v>
      </c>
      <c r="E43" s="25">
        <v>224</v>
      </c>
      <c r="F43" s="25" t="s">
        <v>274</v>
      </c>
      <c r="G43" s="36">
        <v>32000</v>
      </c>
      <c r="H43" s="36">
        <v>15000</v>
      </c>
      <c r="I43" s="36"/>
      <c r="J43" s="52">
        <f t="shared" si="0"/>
        <v>0.53125</v>
      </c>
    </row>
    <row r="44" spans="2:10" x14ac:dyDescent="0.3">
      <c r="B44" s="106">
        <v>7</v>
      </c>
      <c r="C44" s="59" t="s">
        <v>409</v>
      </c>
      <c r="D44" s="60" t="s">
        <v>229</v>
      </c>
      <c r="E44" s="60">
        <v>152</v>
      </c>
      <c r="F44" s="60" t="s">
        <v>274</v>
      </c>
      <c r="G44" s="61">
        <v>32000</v>
      </c>
      <c r="H44" s="61">
        <v>15000</v>
      </c>
      <c r="I44" s="61"/>
      <c r="J44" s="62">
        <f t="shared" si="0"/>
        <v>0.53125</v>
      </c>
    </row>
    <row r="45" spans="2:10" x14ac:dyDescent="0.3">
      <c r="B45" s="107">
        <v>7</v>
      </c>
      <c r="C45" s="47" t="s">
        <v>409</v>
      </c>
      <c r="D45" s="31" t="s">
        <v>231</v>
      </c>
      <c r="E45" s="31">
        <v>119</v>
      </c>
      <c r="F45" s="31" t="s">
        <v>274</v>
      </c>
      <c r="G45" s="38">
        <v>32000</v>
      </c>
      <c r="H45" s="38">
        <v>15000</v>
      </c>
      <c r="I45" s="38"/>
      <c r="J45" s="54">
        <f t="shared" si="0"/>
        <v>0.53125</v>
      </c>
    </row>
    <row r="46" spans="2:10" x14ac:dyDescent="0.3">
      <c r="B46" s="95">
        <v>8</v>
      </c>
      <c r="C46" s="45" t="s">
        <v>410</v>
      </c>
      <c r="D46" s="25" t="s">
        <v>492</v>
      </c>
      <c r="E46" s="25">
        <v>303</v>
      </c>
      <c r="F46" s="25" t="s">
        <v>275</v>
      </c>
      <c r="G46" s="36">
        <v>35000</v>
      </c>
      <c r="H46" s="36">
        <v>15000</v>
      </c>
      <c r="I46" s="36"/>
      <c r="J46" s="52">
        <f t="shared" si="0"/>
        <v>0.5714285714285714</v>
      </c>
    </row>
    <row r="47" spans="2:10" x14ac:dyDescent="0.3">
      <c r="B47" s="106">
        <v>8</v>
      </c>
      <c r="C47" s="46" t="s">
        <v>410</v>
      </c>
      <c r="D47" s="30" t="s">
        <v>493</v>
      </c>
      <c r="E47" s="30">
        <v>1069</v>
      </c>
      <c r="F47" s="30" t="s">
        <v>275</v>
      </c>
      <c r="G47" s="37">
        <v>35000</v>
      </c>
      <c r="H47" s="37">
        <v>15000</v>
      </c>
      <c r="I47" s="37"/>
      <c r="J47" s="53">
        <f t="shared" si="0"/>
        <v>0.5714285714285714</v>
      </c>
    </row>
    <row r="48" spans="2:10" x14ac:dyDescent="0.3">
      <c r="B48" s="107">
        <v>8</v>
      </c>
      <c r="C48" s="67" t="s">
        <v>410</v>
      </c>
      <c r="D48" s="68" t="s">
        <v>494</v>
      </c>
      <c r="E48" s="68">
        <v>725</v>
      </c>
      <c r="F48" s="68" t="s">
        <v>275</v>
      </c>
      <c r="G48" s="69">
        <v>35000</v>
      </c>
      <c r="H48" s="69">
        <v>15000</v>
      </c>
      <c r="I48" s="69"/>
      <c r="J48" s="70">
        <f t="shared" si="0"/>
        <v>0.5714285714285714</v>
      </c>
    </row>
    <row r="49" spans="2:10" x14ac:dyDescent="0.3">
      <c r="B49" s="95">
        <v>9</v>
      </c>
      <c r="C49" s="71" t="s">
        <v>411</v>
      </c>
      <c r="D49" s="72" t="s">
        <v>276</v>
      </c>
      <c r="E49" s="72">
        <v>160</v>
      </c>
      <c r="F49" s="72" t="s">
        <v>277</v>
      </c>
      <c r="G49" s="73">
        <v>35000</v>
      </c>
      <c r="H49" s="73">
        <v>15000</v>
      </c>
      <c r="I49" s="73"/>
      <c r="J49" s="74">
        <f t="shared" si="0"/>
        <v>0.5714285714285714</v>
      </c>
    </row>
    <row r="50" spans="2:10" x14ac:dyDescent="0.3">
      <c r="B50" s="107">
        <v>9</v>
      </c>
      <c r="C50" s="47" t="s">
        <v>411</v>
      </c>
      <c r="D50" s="31" t="s">
        <v>278</v>
      </c>
      <c r="E50" s="31">
        <v>14</v>
      </c>
      <c r="F50" s="31" t="s">
        <v>277</v>
      </c>
      <c r="G50" s="38">
        <v>35000</v>
      </c>
      <c r="H50" s="38">
        <v>15000</v>
      </c>
      <c r="I50" s="38"/>
      <c r="J50" s="54">
        <f t="shared" si="0"/>
        <v>0.5714285714285714</v>
      </c>
    </row>
    <row r="51" spans="2:10" x14ac:dyDescent="0.3">
      <c r="B51" s="108">
        <v>10</v>
      </c>
      <c r="C51" s="75" t="s">
        <v>412</v>
      </c>
      <c r="D51" s="76" t="s">
        <v>279</v>
      </c>
      <c r="E51" s="76">
        <v>53</v>
      </c>
      <c r="F51" s="76" t="s">
        <v>280</v>
      </c>
      <c r="G51" s="77">
        <v>29000</v>
      </c>
      <c r="H51" s="77">
        <v>15000</v>
      </c>
      <c r="I51" s="77"/>
      <c r="J51" s="78">
        <f t="shared" si="0"/>
        <v>0.48275862068965514</v>
      </c>
    </row>
    <row r="52" spans="2:10" x14ac:dyDescent="0.3">
      <c r="B52" s="108">
        <v>11</v>
      </c>
      <c r="C52" s="75" t="s">
        <v>413</v>
      </c>
      <c r="D52" s="76" t="s">
        <v>281</v>
      </c>
      <c r="E52" s="76">
        <v>30</v>
      </c>
      <c r="F52" s="76" t="s">
        <v>282</v>
      </c>
      <c r="G52" s="77">
        <v>35000</v>
      </c>
      <c r="H52" s="77">
        <v>15000</v>
      </c>
      <c r="I52" s="77"/>
      <c r="J52" s="78">
        <f t="shared" si="0"/>
        <v>0.5714285714285714</v>
      </c>
    </row>
    <row r="53" spans="2:10" x14ac:dyDescent="0.3">
      <c r="B53" s="104">
        <v>12</v>
      </c>
      <c r="C53" s="63" t="s">
        <v>414</v>
      </c>
      <c r="D53" s="64" t="s">
        <v>283</v>
      </c>
      <c r="E53" s="64">
        <v>21</v>
      </c>
      <c r="F53" s="64" t="s">
        <v>284</v>
      </c>
      <c r="G53" s="65">
        <v>35000</v>
      </c>
      <c r="H53" s="65">
        <v>15000</v>
      </c>
      <c r="I53" s="65"/>
      <c r="J53" s="66">
        <f t="shared" si="0"/>
        <v>0.5714285714285714</v>
      </c>
    </row>
    <row r="54" spans="2:10" x14ac:dyDescent="0.3">
      <c r="B54" s="105">
        <v>12</v>
      </c>
      <c r="C54" s="49" t="s">
        <v>414</v>
      </c>
      <c r="D54" s="32" t="s">
        <v>285</v>
      </c>
      <c r="E54" s="32">
        <v>19</v>
      </c>
      <c r="F54" s="32" t="s">
        <v>284</v>
      </c>
      <c r="G54" s="40">
        <v>35000</v>
      </c>
      <c r="H54" s="40">
        <v>15000</v>
      </c>
      <c r="I54" s="40"/>
      <c r="J54" s="56">
        <f t="shared" si="0"/>
        <v>0.5714285714285714</v>
      </c>
    </row>
    <row r="55" spans="2:10" x14ac:dyDescent="0.3">
      <c r="B55" s="104">
        <v>13</v>
      </c>
      <c r="C55" s="48" t="s">
        <v>415</v>
      </c>
      <c r="D55" s="26" t="s">
        <v>286</v>
      </c>
      <c r="E55" s="26">
        <v>42</v>
      </c>
      <c r="F55" s="26" t="s">
        <v>287</v>
      </c>
      <c r="G55" s="39">
        <v>35000</v>
      </c>
      <c r="H55" s="39">
        <v>15000</v>
      </c>
      <c r="I55" s="39"/>
      <c r="J55" s="55">
        <f t="shared" si="0"/>
        <v>0.5714285714285714</v>
      </c>
    </row>
    <row r="56" spans="2:10" x14ac:dyDescent="0.3">
      <c r="B56" s="105">
        <v>13</v>
      </c>
      <c r="C56" s="79" t="s">
        <v>415</v>
      </c>
      <c r="D56" s="80" t="s">
        <v>288</v>
      </c>
      <c r="E56" s="80">
        <v>50</v>
      </c>
      <c r="F56" s="80" t="s">
        <v>287</v>
      </c>
      <c r="G56" s="81">
        <v>35000</v>
      </c>
      <c r="H56" s="81">
        <v>15000</v>
      </c>
      <c r="I56" s="81"/>
      <c r="J56" s="82">
        <f t="shared" si="0"/>
        <v>0.5714285714285714</v>
      </c>
    </row>
    <row r="57" spans="2:10" x14ac:dyDescent="0.3">
      <c r="B57" s="104">
        <v>14</v>
      </c>
      <c r="C57" s="48" t="s">
        <v>416</v>
      </c>
      <c r="D57" s="26" t="s">
        <v>289</v>
      </c>
      <c r="E57" s="26">
        <v>11</v>
      </c>
      <c r="F57" s="26" t="s">
        <v>290</v>
      </c>
      <c r="G57" s="39">
        <v>39000</v>
      </c>
      <c r="H57" s="39">
        <v>15000</v>
      </c>
      <c r="I57" s="39"/>
      <c r="J57" s="55">
        <f t="shared" si="0"/>
        <v>0.61538461538461542</v>
      </c>
    </row>
    <row r="58" spans="2:10" x14ac:dyDescent="0.3">
      <c r="B58" s="105">
        <v>14</v>
      </c>
      <c r="C58" s="79" t="s">
        <v>416</v>
      </c>
      <c r="D58" s="80" t="s">
        <v>291</v>
      </c>
      <c r="E58" s="80">
        <v>21</v>
      </c>
      <c r="F58" s="80" t="s">
        <v>290</v>
      </c>
      <c r="G58" s="81">
        <v>39000</v>
      </c>
      <c r="H58" s="81">
        <v>15000</v>
      </c>
      <c r="I58" s="81"/>
      <c r="J58" s="82">
        <f t="shared" si="0"/>
        <v>0.61538461538461542</v>
      </c>
    </row>
    <row r="59" spans="2:10" x14ac:dyDescent="0.3">
      <c r="B59" s="95">
        <v>15</v>
      </c>
      <c r="C59" s="71" t="s">
        <v>417</v>
      </c>
      <c r="D59" s="72" t="s">
        <v>292</v>
      </c>
      <c r="E59" s="72">
        <v>339</v>
      </c>
      <c r="F59" s="72" t="s">
        <v>293</v>
      </c>
      <c r="G59" s="73">
        <v>29000</v>
      </c>
      <c r="H59" s="73">
        <v>15000</v>
      </c>
      <c r="I59" s="73"/>
      <c r="J59" s="74">
        <f t="shared" si="0"/>
        <v>0.48275862068965514</v>
      </c>
    </row>
    <row r="60" spans="2:10" x14ac:dyDescent="0.3">
      <c r="B60" s="106">
        <v>15</v>
      </c>
      <c r="C60" s="46" t="s">
        <v>417</v>
      </c>
      <c r="D60" s="30" t="s">
        <v>294</v>
      </c>
      <c r="E60" s="30">
        <v>55</v>
      </c>
      <c r="F60" s="30" t="s">
        <v>293</v>
      </c>
      <c r="G60" s="37">
        <v>29000</v>
      </c>
      <c r="H60" s="37">
        <v>15000</v>
      </c>
      <c r="I60" s="37"/>
      <c r="J60" s="53">
        <f t="shared" si="0"/>
        <v>0.48275862068965514</v>
      </c>
    </row>
    <row r="61" spans="2:10" x14ac:dyDescent="0.3">
      <c r="B61" s="109"/>
      <c r="C61" s="47" t="s">
        <v>417</v>
      </c>
      <c r="D61" s="31" t="s">
        <v>295</v>
      </c>
      <c r="E61" s="31">
        <v>45</v>
      </c>
      <c r="F61" s="31" t="s">
        <v>293</v>
      </c>
      <c r="G61" s="38">
        <v>29000</v>
      </c>
      <c r="H61" s="38">
        <v>15000</v>
      </c>
      <c r="I61" s="38"/>
      <c r="J61" s="54">
        <f t="shared" si="0"/>
        <v>0.48275862068965514</v>
      </c>
    </row>
    <row r="62" spans="2:10" x14ac:dyDescent="0.3">
      <c r="B62" s="110">
        <v>16</v>
      </c>
      <c r="C62" s="84" t="s">
        <v>422</v>
      </c>
      <c r="D62" s="83" t="s">
        <v>207</v>
      </c>
      <c r="E62" s="83">
        <v>486</v>
      </c>
      <c r="F62" s="83" t="s">
        <v>300</v>
      </c>
      <c r="G62" s="85">
        <v>35000</v>
      </c>
      <c r="H62" s="85">
        <v>15000</v>
      </c>
      <c r="I62" s="85"/>
      <c r="J62" s="86">
        <f t="shared" ref="J62:J71" si="1">1-H62/G62</f>
        <v>0.5714285714285714</v>
      </c>
    </row>
    <row r="63" spans="2:10" x14ac:dyDescent="0.3">
      <c r="B63" s="111">
        <v>20</v>
      </c>
      <c r="C63" s="50" t="s">
        <v>422</v>
      </c>
      <c r="D63" s="33" t="s">
        <v>209</v>
      </c>
      <c r="E63" s="33">
        <v>368</v>
      </c>
      <c r="F63" s="33" t="s">
        <v>300</v>
      </c>
      <c r="G63" s="41">
        <v>35000</v>
      </c>
      <c r="H63" s="41">
        <v>15000</v>
      </c>
      <c r="I63" s="41"/>
      <c r="J63" s="57">
        <f t="shared" si="1"/>
        <v>0.5714285714285714</v>
      </c>
    </row>
    <row r="64" spans="2:10" x14ac:dyDescent="0.3">
      <c r="B64" s="111">
        <v>20</v>
      </c>
      <c r="C64" s="50" t="s">
        <v>422</v>
      </c>
      <c r="D64" s="33" t="s">
        <v>211</v>
      </c>
      <c r="E64" s="33">
        <v>425</v>
      </c>
      <c r="F64" s="33" t="s">
        <v>300</v>
      </c>
      <c r="G64" s="41">
        <v>35000</v>
      </c>
      <c r="H64" s="41">
        <v>15000</v>
      </c>
      <c r="I64" s="41"/>
      <c r="J64" s="57">
        <f t="shared" si="1"/>
        <v>0.5714285714285714</v>
      </c>
    </row>
    <row r="65" spans="2:10" x14ac:dyDescent="0.3">
      <c r="B65" s="105">
        <v>20</v>
      </c>
      <c r="C65" s="49" t="s">
        <v>422</v>
      </c>
      <c r="D65" s="32" t="s">
        <v>213</v>
      </c>
      <c r="E65" s="32">
        <v>234</v>
      </c>
      <c r="F65" s="32" t="s">
        <v>300</v>
      </c>
      <c r="G65" s="40">
        <v>35000</v>
      </c>
      <c r="H65" s="40">
        <v>15000</v>
      </c>
      <c r="I65" s="40"/>
      <c r="J65" s="56">
        <f t="shared" si="1"/>
        <v>0.5714285714285714</v>
      </c>
    </row>
    <row r="66" spans="2:10" x14ac:dyDescent="0.3">
      <c r="B66" s="104">
        <v>17</v>
      </c>
      <c r="C66" s="48" t="s">
        <v>423</v>
      </c>
      <c r="D66" s="26" t="s">
        <v>221</v>
      </c>
      <c r="E66" s="26">
        <v>96</v>
      </c>
      <c r="F66" s="26" t="s">
        <v>301</v>
      </c>
      <c r="G66" s="39">
        <v>35000</v>
      </c>
      <c r="H66" s="39">
        <v>15000</v>
      </c>
      <c r="I66" s="39"/>
      <c r="J66" s="55">
        <f t="shared" si="1"/>
        <v>0.5714285714285714</v>
      </c>
    </row>
    <row r="67" spans="2:10" x14ac:dyDescent="0.3">
      <c r="B67" s="111">
        <v>21</v>
      </c>
      <c r="C67" s="84" t="s">
        <v>423</v>
      </c>
      <c r="D67" s="83" t="s">
        <v>223</v>
      </c>
      <c r="E67" s="83">
        <v>307</v>
      </c>
      <c r="F67" s="83" t="s">
        <v>301</v>
      </c>
      <c r="G67" s="85">
        <v>35000</v>
      </c>
      <c r="H67" s="85">
        <v>15000</v>
      </c>
      <c r="I67" s="85"/>
      <c r="J67" s="86">
        <f t="shared" si="1"/>
        <v>0.5714285714285714</v>
      </c>
    </row>
    <row r="68" spans="2:10" x14ac:dyDescent="0.3">
      <c r="B68" s="105">
        <v>21</v>
      </c>
      <c r="C68" s="49" t="s">
        <v>423</v>
      </c>
      <c r="D68" s="32" t="s">
        <v>225</v>
      </c>
      <c r="E68" s="32">
        <v>190</v>
      </c>
      <c r="F68" s="32" t="s">
        <v>301</v>
      </c>
      <c r="G68" s="40">
        <v>35000</v>
      </c>
      <c r="H68" s="40">
        <v>15000</v>
      </c>
      <c r="I68" s="40"/>
      <c r="J68" s="56">
        <f t="shared" si="1"/>
        <v>0.5714285714285714</v>
      </c>
    </row>
    <row r="69" spans="2:10" x14ac:dyDescent="0.3">
      <c r="B69" s="101">
        <v>18</v>
      </c>
      <c r="C69" s="71" t="s">
        <v>404</v>
      </c>
      <c r="D69" s="72" t="s">
        <v>83</v>
      </c>
      <c r="E69" s="72">
        <v>244</v>
      </c>
      <c r="F69" s="72" t="s">
        <v>270</v>
      </c>
      <c r="G69" s="73">
        <v>39000</v>
      </c>
      <c r="H69" s="73">
        <v>16000</v>
      </c>
      <c r="I69" s="73"/>
      <c r="J69" s="74">
        <f t="shared" si="1"/>
        <v>0.58974358974358976</v>
      </c>
    </row>
    <row r="70" spans="2:10" x14ac:dyDescent="0.3">
      <c r="B70" s="102">
        <v>2</v>
      </c>
      <c r="C70" s="46" t="s">
        <v>404</v>
      </c>
      <c r="D70" s="30" t="s">
        <v>85</v>
      </c>
      <c r="E70" s="30">
        <v>256</v>
      </c>
      <c r="F70" s="30" t="s">
        <v>270</v>
      </c>
      <c r="G70" s="37">
        <v>39000</v>
      </c>
      <c r="H70" s="37">
        <v>16000</v>
      </c>
      <c r="I70" s="37"/>
      <c r="J70" s="53">
        <f t="shared" si="1"/>
        <v>0.58974358974358976</v>
      </c>
    </row>
    <row r="71" spans="2:10" x14ac:dyDescent="0.3">
      <c r="B71" s="103">
        <v>2</v>
      </c>
      <c r="C71" s="47" t="s">
        <v>404</v>
      </c>
      <c r="D71" s="31" t="s">
        <v>87</v>
      </c>
      <c r="E71" s="31">
        <v>227</v>
      </c>
      <c r="F71" s="31" t="s">
        <v>270</v>
      </c>
      <c r="G71" s="38">
        <v>39000</v>
      </c>
      <c r="H71" s="38">
        <v>16000</v>
      </c>
      <c r="I71" s="38"/>
      <c r="J71" s="54">
        <f t="shared" si="1"/>
        <v>0.58974358974358976</v>
      </c>
    </row>
    <row r="72" spans="2:10" x14ac:dyDescent="0.3">
      <c r="B72" s="104">
        <v>19</v>
      </c>
      <c r="C72" s="48" t="s">
        <v>419</v>
      </c>
      <c r="D72" s="26" t="s">
        <v>67</v>
      </c>
      <c r="E72" s="26">
        <v>216</v>
      </c>
      <c r="F72" s="26" t="s">
        <v>297</v>
      </c>
      <c r="G72" s="39">
        <v>39000</v>
      </c>
      <c r="H72" s="39">
        <v>16000</v>
      </c>
      <c r="I72" s="39"/>
      <c r="J72" s="55">
        <f t="shared" si="0"/>
        <v>0.58974358974358976</v>
      </c>
    </row>
    <row r="73" spans="2:10" x14ac:dyDescent="0.3">
      <c r="B73" s="111">
        <v>17</v>
      </c>
      <c r="C73" s="84" t="s">
        <v>419</v>
      </c>
      <c r="D73" s="83" t="s">
        <v>69</v>
      </c>
      <c r="E73" s="83">
        <v>385</v>
      </c>
      <c r="F73" s="83" t="s">
        <v>297</v>
      </c>
      <c r="G73" s="85">
        <v>39000</v>
      </c>
      <c r="H73" s="85">
        <v>16000</v>
      </c>
      <c r="I73" s="85"/>
      <c r="J73" s="86">
        <f t="shared" si="0"/>
        <v>0.58974358974358976</v>
      </c>
    </row>
    <row r="74" spans="2:10" x14ac:dyDescent="0.3">
      <c r="B74" s="111">
        <v>17</v>
      </c>
      <c r="C74" s="50" t="s">
        <v>419</v>
      </c>
      <c r="D74" s="33" t="s">
        <v>71</v>
      </c>
      <c r="E74" s="33">
        <v>279</v>
      </c>
      <c r="F74" s="33" t="s">
        <v>297</v>
      </c>
      <c r="G74" s="41">
        <v>39000</v>
      </c>
      <c r="H74" s="41">
        <v>16000</v>
      </c>
      <c r="I74" s="41"/>
      <c r="J74" s="57">
        <f t="shared" si="0"/>
        <v>0.58974358974358976</v>
      </c>
    </row>
    <row r="75" spans="2:10" x14ac:dyDescent="0.3">
      <c r="B75" s="105">
        <v>17</v>
      </c>
      <c r="C75" s="49" t="s">
        <v>419</v>
      </c>
      <c r="D75" s="32" t="s">
        <v>73</v>
      </c>
      <c r="E75" s="32">
        <v>557</v>
      </c>
      <c r="F75" s="32" t="s">
        <v>297</v>
      </c>
      <c r="G75" s="40">
        <v>39000</v>
      </c>
      <c r="H75" s="40">
        <v>16000</v>
      </c>
      <c r="I75" s="40"/>
      <c r="J75" s="56">
        <f t="shared" si="0"/>
        <v>0.58974358974358976</v>
      </c>
    </row>
    <row r="76" spans="2:10" x14ac:dyDescent="0.3">
      <c r="B76" s="104">
        <v>20</v>
      </c>
      <c r="C76" s="48" t="s">
        <v>420</v>
      </c>
      <c r="D76" s="26" t="s">
        <v>153</v>
      </c>
      <c r="E76" s="26">
        <v>494</v>
      </c>
      <c r="F76" s="26" t="s">
        <v>298</v>
      </c>
      <c r="G76" s="39">
        <v>39000</v>
      </c>
      <c r="H76" s="39">
        <v>16000</v>
      </c>
      <c r="I76" s="39"/>
      <c r="J76" s="55">
        <f t="shared" si="0"/>
        <v>0.58974358974358976</v>
      </c>
    </row>
    <row r="77" spans="2:10" x14ac:dyDescent="0.3">
      <c r="B77" s="111">
        <v>18</v>
      </c>
      <c r="C77" s="50" t="s">
        <v>420</v>
      </c>
      <c r="D77" s="33" t="s">
        <v>155</v>
      </c>
      <c r="E77" s="33">
        <v>582</v>
      </c>
      <c r="F77" s="33" t="s">
        <v>298</v>
      </c>
      <c r="G77" s="41">
        <v>39000</v>
      </c>
      <c r="H77" s="41">
        <v>16000</v>
      </c>
      <c r="I77" s="41"/>
      <c r="J77" s="57">
        <f t="shared" si="0"/>
        <v>0.58974358974358976</v>
      </c>
    </row>
    <row r="78" spans="2:10" x14ac:dyDescent="0.3">
      <c r="B78" s="111">
        <v>18</v>
      </c>
      <c r="C78" s="50" t="s">
        <v>420</v>
      </c>
      <c r="D78" s="33" t="s">
        <v>157</v>
      </c>
      <c r="E78" s="33">
        <v>33</v>
      </c>
      <c r="F78" s="33" t="s">
        <v>298</v>
      </c>
      <c r="G78" s="41">
        <v>39000</v>
      </c>
      <c r="H78" s="41">
        <v>16000</v>
      </c>
      <c r="I78" s="41"/>
      <c r="J78" s="57">
        <f t="shared" si="0"/>
        <v>0.58974358974358976</v>
      </c>
    </row>
    <row r="79" spans="2:10" x14ac:dyDescent="0.3">
      <c r="B79" s="105">
        <v>18</v>
      </c>
      <c r="C79" s="79" t="s">
        <v>420</v>
      </c>
      <c r="D79" s="80" t="s">
        <v>159</v>
      </c>
      <c r="E79" s="80">
        <v>771</v>
      </c>
      <c r="F79" s="80" t="s">
        <v>298</v>
      </c>
      <c r="G79" s="81">
        <v>39000</v>
      </c>
      <c r="H79" s="81">
        <v>16000</v>
      </c>
      <c r="I79" s="81"/>
      <c r="J79" s="82">
        <f t="shared" si="0"/>
        <v>0.58974358974358976</v>
      </c>
    </row>
    <row r="80" spans="2:10" x14ac:dyDescent="0.3">
      <c r="B80" s="104">
        <v>21</v>
      </c>
      <c r="C80" s="48" t="s">
        <v>421</v>
      </c>
      <c r="D80" s="26" t="s">
        <v>75</v>
      </c>
      <c r="E80" s="26">
        <v>193</v>
      </c>
      <c r="F80" s="26" t="s">
        <v>299</v>
      </c>
      <c r="G80" s="39">
        <v>39000</v>
      </c>
      <c r="H80" s="39">
        <v>16000</v>
      </c>
      <c r="I80" s="39"/>
      <c r="J80" s="55">
        <f t="shared" si="0"/>
        <v>0.58974358974358976</v>
      </c>
    </row>
    <row r="81" spans="2:10" x14ac:dyDescent="0.3">
      <c r="B81" s="111">
        <v>19</v>
      </c>
      <c r="C81" s="84" t="s">
        <v>421</v>
      </c>
      <c r="D81" s="83" t="s">
        <v>77</v>
      </c>
      <c r="E81" s="83">
        <v>387</v>
      </c>
      <c r="F81" s="83" t="s">
        <v>299</v>
      </c>
      <c r="G81" s="85">
        <v>39000</v>
      </c>
      <c r="H81" s="85">
        <v>16000</v>
      </c>
      <c r="I81" s="85"/>
      <c r="J81" s="86">
        <f t="shared" si="0"/>
        <v>0.58974358974358976</v>
      </c>
    </row>
    <row r="82" spans="2:10" x14ac:dyDescent="0.3">
      <c r="B82" s="105">
        <v>19</v>
      </c>
      <c r="C82" s="49" t="s">
        <v>421</v>
      </c>
      <c r="D82" s="32" t="s">
        <v>79</v>
      </c>
      <c r="E82" s="32">
        <v>588</v>
      </c>
      <c r="F82" s="32" t="s">
        <v>299</v>
      </c>
      <c r="G82" s="40">
        <v>39000</v>
      </c>
      <c r="H82" s="40">
        <v>16000</v>
      </c>
      <c r="I82" s="40"/>
      <c r="J82" s="56">
        <f t="shared" si="0"/>
        <v>0.58974358974358976</v>
      </c>
    </row>
    <row r="83" spans="2:10" x14ac:dyDescent="0.3">
      <c r="B83" s="104">
        <v>22</v>
      </c>
      <c r="C83" s="48" t="s">
        <v>424</v>
      </c>
      <c r="D83" s="26" t="s">
        <v>215</v>
      </c>
      <c r="E83" s="26">
        <v>45</v>
      </c>
      <c r="F83" s="26" t="s">
        <v>302</v>
      </c>
      <c r="G83" s="39">
        <v>35000</v>
      </c>
      <c r="H83" s="39">
        <v>16000</v>
      </c>
      <c r="I83" s="39"/>
      <c r="J83" s="55">
        <f t="shared" si="0"/>
        <v>0.54285714285714293</v>
      </c>
    </row>
    <row r="84" spans="2:10" x14ac:dyDescent="0.3">
      <c r="B84" s="111">
        <v>22</v>
      </c>
      <c r="C84" s="50" t="s">
        <v>424</v>
      </c>
      <c r="D84" s="33" t="s">
        <v>217</v>
      </c>
      <c r="E84" s="33">
        <v>40</v>
      </c>
      <c r="F84" s="33" t="s">
        <v>302</v>
      </c>
      <c r="G84" s="41">
        <v>35000</v>
      </c>
      <c r="H84" s="41">
        <v>16000</v>
      </c>
      <c r="I84" s="41"/>
      <c r="J84" s="57">
        <f t="shared" si="0"/>
        <v>0.54285714285714293</v>
      </c>
    </row>
    <row r="85" spans="2:10" x14ac:dyDescent="0.3">
      <c r="B85" s="105">
        <v>23</v>
      </c>
      <c r="C85" s="79" t="s">
        <v>424</v>
      </c>
      <c r="D85" s="80" t="s">
        <v>219</v>
      </c>
      <c r="E85" s="80">
        <v>58</v>
      </c>
      <c r="F85" s="80" t="s">
        <v>302</v>
      </c>
      <c r="G85" s="81">
        <v>35000</v>
      </c>
      <c r="H85" s="81">
        <v>16000</v>
      </c>
      <c r="I85" s="81"/>
      <c r="J85" s="82">
        <f t="shared" ref="J85:J109" si="2">1-H85/G85</f>
        <v>0.54285714285714293</v>
      </c>
    </row>
    <row r="86" spans="2:10" x14ac:dyDescent="0.3">
      <c r="B86" s="104">
        <v>23</v>
      </c>
      <c r="C86" s="63" t="s">
        <v>425</v>
      </c>
      <c r="D86" s="64" t="s">
        <v>188</v>
      </c>
      <c r="E86" s="64">
        <v>109</v>
      </c>
      <c r="F86" s="64" t="s">
        <v>303</v>
      </c>
      <c r="G86" s="65">
        <v>35000</v>
      </c>
      <c r="H86" s="65">
        <v>16000</v>
      </c>
      <c r="I86" s="65"/>
      <c r="J86" s="66">
        <f t="shared" si="2"/>
        <v>0.54285714285714293</v>
      </c>
    </row>
    <row r="87" spans="2:10" x14ac:dyDescent="0.3">
      <c r="B87" s="105">
        <v>23</v>
      </c>
      <c r="C87" s="49" t="s">
        <v>425</v>
      </c>
      <c r="D87" s="32" t="s">
        <v>190</v>
      </c>
      <c r="E87" s="32">
        <v>73</v>
      </c>
      <c r="F87" s="32" t="s">
        <v>303</v>
      </c>
      <c r="G87" s="40">
        <v>35000</v>
      </c>
      <c r="H87" s="40">
        <v>16000</v>
      </c>
      <c r="I87" s="40"/>
      <c r="J87" s="56">
        <f t="shared" si="2"/>
        <v>0.54285714285714293</v>
      </c>
    </row>
    <row r="88" spans="2:10" x14ac:dyDescent="0.3">
      <c r="B88" s="104">
        <v>24</v>
      </c>
      <c r="C88" s="63" t="s">
        <v>426</v>
      </c>
      <c r="D88" s="64" t="s">
        <v>233</v>
      </c>
      <c r="E88" s="64">
        <v>259</v>
      </c>
      <c r="F88" s="64" t="s">
        <v>304</v>
      </c>
      <c r="G88" s="65">
        <v>32000</v>
      </c>
      <c r="H88" s="65">
        <v>17000</v>
      </c>
      <c r="I88" s="65"/>
      <c r="J88" s="66">
        <f t="shared" si="2"/>
        <v>0.46875</v>
      </c>
    </row>
    <row r="89" spans="2:10" x14ac:dyDescent="0.3">
      <c r="B89" s="111">
        <v>24</v>
      </c>
      <c r="C89" s="50" t="s">
        <v>426</v>
      </c>
      <c r="D89" s="33" t="s">
        <v>234</v>
      </c>
      <c r="E89" s="33">
        <v>151</v>
      </c>
      <c r="F89" s="33" t="s">
        <v>304</v>
      </c>
      <c r="G89" s="41">
        <v>32000</v>
      </c>
      <c r="H89" s="41">
        <v>17000</v>
      </c>
      <c r="I89" s="41"/>
      <c r="J89" s="57">
        <f t="shared" si="2"/>
        <v>0.46875</v>
      </c>
    </row>
    <row r="90" spans="2:10" x14ac:dyDescent="0.3">
      <c r="B90" s="105">
        <v>24</v>
      </c>
      <c r="C90" s="49" t="s">
        <v>426</v>
      </c>
      <c r="D90" s="32" t="s">
        <v>235</v>
      </c>
      <c r="E90" s="32">
        <v>157</v>
      </c>
      <c r="F90" s="32" t="s">
        <v>304</v>
      </c>
      <c r="G90" s="40">
        <v>32000</v>
      </c>
      <c r="H90" s="40">
        <v>17000</v>
      </c>
      <c r="I90" s="40"/>
      <c r="J90" s="56">
        <f t="shared" si="2"/>
        <v>0.46875</v>
      </c>
    </row>
    <row r="91" spans="2:10" x14ac:dyDescent="0.3">
      <c r="B91" s="108">
        <v>25</v>
      </c>
      <c r="C91" s="75" t="s">
        <v>427</v>
      </c>
      <c r="D91" s="76" t="s">
        <v>305</v>
      </c>
      <c r="E91" s="76">
        <v>11</v>
      </c>
      <c r="F91" s="76" t="s">
        <v>306</v>
      </c>
      <c r="G91" s="77">
        <v>45000</v>
      </c>
      <c r="H91" s="77">
        <v>18000</v>
      </c>
      <c r="I91" s="77"/>
      <c r="J91" s="78">
        <f t="shared" si="2"/>
        <v>0.6</v>
      </c>
    </row>
    <row r="92" spans="2:10" x14ac:dyDescent="0.3">
      <c r="B92" s="95">
        <v>26</v>
      </c>
      <c r="C92" s="71" t="s">
        <v>428</v>
      </c>
      <c r="D92" s="72" t="s">
        <v>50</v>
      </c>
      <c r="E92" s="72">
        <v>945</v>
      </c>
      <c r="F92" s="72" t="s">
        <v>307</v>
      </c>
      <c r="G92" s="73">
        <v>35000</v>
      </c>
      <c r="H92" s="73">
        <v>19000</v>
      </c>
      <c r="I92" s="73"/>
      <c r="J92" s="74">
        <f t="shared" si="2"/>
        <v>0.45714285714285718</v>
      </c>
    </row>
    <row r="93" spans="2:10" x14ac:dyDescent="0.3">
      <c r="B93" s="106">
        <v>26</v>
      </c>
      <c r="C93" s="46" t="s">
        <v>428</v>
      </c>
      <c r="D93" s="30" t="s">
        <v>51</v>
      </c>
      <c r="E93" s="30">
        <v>411</v>
      </c>
      <c r="F93" s="30" t="s">
        <v>307</v>
      </c>
      <c r="G93" s="37">
        <v>35000</v>
      </c>
      <c r="H93" s="37">
        <v>19000</v>
      </c>
      <c r="I93" s="37"/>
      <c r="J93" s="53">
        <f t="shared" si="2"/>
        <v>0.45714285714285718</v>
      </c>
    </row>
    <row r="94" spans="2:10" x14ac:dyDescent="0.3">
      <c r="B94" s="106">
        <v>26</v>
      </c>
      <c r="C94" s="46" t="s">
        <v>428</v>
      </c>
      <c r="D94" s="30" t="s">
        <v>52</v>
      </c>
      <c r="E94" s="30">
        <v>48</v>
      </c>
      <c r="F94" s="30" t="s">
        <v>307</v>
      </c>
      <c r="G94" s="37">
        <v>35000</v>
      </c>
      <c r="H94" s="37">
        <v>19000</v>
      </c>
      <c r="I94" s="37"/>
      <c r="J94" s="53">
        <f t="shared" si="2"/>
        <v>0.45714285714285718</v>
      </c>
    </row>
    <row r="95" spans="2:10" x14ac:dyDescent="0.3">
      <c r="B95" s="107">
        <v>26</v>
      </c>
      <c r="C95" s="47" t="s">
        <v>428</v>
      </c>
      <c r="D95" s="31" t="s">
        <v>53</v>
      </c>
      <c r="E95" s="31">
        <v>845</v>
      </c>
      <c r="F95" s="31" t="s">
        <v>307</v>
      </c>
      <c r="G95" s="38">
        <v>35000</v>
      </c>
      <c r="H95" s="38">
        <v>19000</v>
      </c>
      <c r="I95" s="38"/>
      <c r="J95" s="54">
        <f t="shared" si="2"/>
        <v>0.45714285714285718</v>
      </c>
    </row>
    <row r="96" spans="2:10" x14ac:dyDescent="0.3">
      <c r="B96" s="95">
        <v>27</v>
      </c>
      <c r="C96" s="45" t="s">
        <v>429</v>
      </c>
      <c r="D96" s="25" t="s">
        <v>64</v>
      </c>
      <c r="E96" s="25">
        <v>219</v>
      </c>
      <c r="F96" s="25" t="s">
        <v>308</v>
      </c>
      <c r="G96" s="36">
        <v>35000</v>
      </c>
      <c r="H96" s="36">
        <v>19000</v>
      </c>
      <c r="I96" s="36"/>
      <c r="J96" s="52">
        <f t="shared" si="2"/>
        <v>0.45714285714285718</v>
      </c>
    </row>
    <row r="97" spans="2:10" x14ac:dyDescent="0.3">
      <c r="B97" s="106">
        <v>27</v>
      </c>
      <c r="C97" s="46" t="s">
        <v>429</v>
      </c>
      <c r="D97" s="30" t="s">
        <v>65</v>
      </c>
      <c r="E97" s="30">
        <v>121</v>
      </c>
      <c r="F97" s="30" t="s">
        <v>308</v>
      </c>
      <c r="G97" s="37">
        <v>35000</v>
      </c>
      <c r="H97" s="37">
        <v>19000</v>
      </c>
      <c r="I97" s="37"/>
      <c r="J97" s="53">
        <f t="shared" si="2"/>
        <v>0.45714285714285718</v>
      </c>
    </row>
    <row r="98" spans="2:10" x14ac:dyDescent="0.3">
      <c r="B98" s="107">
        <v>27</v>
      </c>
      <c r="C98" s="67" t="s">
        <v>429</v>
      </c>
      <c r="D98" s="68" t="s">
        <v>66</v>
      </c>
      <c r="E98" s="68">
        <v>489</v>
      </c>
      <c r="F98" s="68" t="s">
        <v>308</v>
      </c>
      <c r="G98" s="69">
        <v>35000</v>
      </c>
      <c r="H98" s="69">
        <v>19000</v>
      </c>
      <c r="I98" s="69"/>
      <c r="J98" s="70">
        <f t="shared" si="2"/>
        <v>0.45714285714285718</v>
      </c>
    </row>
    <row r="99" spans="2:10" x14ac:dyDescent="0.3">
      <c r="B99" s="95">
        <v>28</v>
      </c>
      <c r="C99" s="45" t="s">
        <v>430</v>
      </c>
      <c r="D99" s="25" t="s">
        <v>144</v>
      </c>
      <c r="E99" s="25">
        <v>19</v>
      </c>
      <c r="F99" s="25" t="s">
        <v>309</v>
      </c>
      <c r="G99" s="36">
        <v>35000</v>
      </c>
      <c r="H99" s="36">
        <v>19000</v>
      </c>
      <c r="I99" s="36"/>
      <c r="J99" s="52">
        <f t="shared" si="2"/>
        <v>0.45714285714285718</v>
      </c>
    </row>
    <row r="100" spans="2:10" x14ac:dyDescent="0.3">
      <c r="B100" s="107">
        <v>28</v>
      </c>
      <c r="C100" s="67" t="s">
        <v>430</v>
      </c>
      <c r="D100" s="68" t="s">
        <v>145</v>
      </c>
      <c r="E100" s="68">
        <v>179</v>
      </c>
      <c r="F100" s="68" t="s">
        <v>309</v>
      </c>
      <c r="G100" s="69">
        <v>35000</v>
      </c>
      <c r="H100" s="69">
        <v>19000</v>
      </c>
      <c r="I100" s="69"/>
      <c r="J100" s="70">
        <f t="shared" si="2"/>
        <v>0.45714285714285718</v>
      </c>
    </row>
    <row r="101" spans="2:10" x14ac:dyDescent="0.3">
      <c r="B101" s="95">
        <v>29</v>
      </c>
      <c r="C101" s="71" t="s">
        <v>431</v>
      </c>
      <c r="D101" s="72" t="s">
        <v>146</v>
      </c>
      <c r="E101" s="72">
        <v>413</v>
      </c>
      <c r="F101" s="72" t="s">
        <v>310</v>
      </c>
      <c r="G101" s="73">
        <v>35000</v>
      </c>
      <c r="H101" s="73">
        <v>19000</v>
      </c>
      <c r="I101" s="73"/>
      <c r="J101" s="74">
        <f t="shared" si="2"/>
        <v>0.45714285714285718</v>
      </c>
    </row>
    <row r="102" spans="2:10" x14ac:dyDescent="0.3">
      <c r="B102" s="107">
        <v>29</v>
      </c>
      <c r="C102" s="47" t="s">
        <v>431</v>
      </c>
      <c r="D102" s="31" t="s">
        <v>147</v>
      </c>
      <c r="E102" s="31">
        <v>16</v>
      </c>
      <c r="F102" s="31" t="s">
        <v>310</v>
      </c>
      <c r="G102" s="38">
        <v>35000</v>
      </c>
      <c r="H102" s="38">
        <v>19000</v>
      </c>
      <c r="I102" s="38"/>
      <c r="J102" s="54">
        <f t="shared" si="2"/>
        <v>0.45714285714285718</v>
      </c>
    </row>
    <row r="103" spans="2:10" x14ac:dyDescent="0.3">
      <c r="B103" s="95">
        <v>30</v>
      </c>
      <c r="C103" s="45" t="s">
        <v>432</v>
      </c>
      <c r="D103" s="25" t="s">
        <v>164</v>
      </c>
      <c r="E103" s="25">
        <v>236</v>
      </c>
      <c r="F103" s="25" t="s">
        <v>311</v>
      </c>
      <c r="G103" s="36">
        <v>35000</v>
      </c>
      <c r="H103" s="36">
        <v>19000</v>
      </c>
      <c r="I103" s="36"/>
      <c r="J103" s="52">
        <f t="shared" si="2"/>
        <v>0.45714285714285718</v>
      </c>
    </row>
    <row r="104" spans="2:10" x14ac:dyDescent="0.3">
      <c r="B104" s="106">
        <v>30</v>
      </c>
      <c r="C104" s="59" t="s">
        <v>432</v>
      </c>
      <c r="D104" s="60" t="s">
        <v>165</v>
      </c>
      <c r="E104" s="60">
        <v>427</v>
      </c>
      <c r="F104" s="60" t="s">
        <v>311</v>
      </c>
      <c r="G104" s="61">
        <v>35000</v>
      </c>
      <c r="H104" s="61">
        <v>19000</v>
      </c>
      <c r="I104" s="61"/>
      <c r="J104" s="62">
        <f t="shared" si="2"/>
        <v>0.45714285714285718</v>
      </c>
    </row>
    <row r="105" spans="2:10" x14ac:dyDescent="0.3">
      <c r="B105" s="107">
        <v>30</v>
      </c>
      <c r="C105" s="47" t="s">
        <v>432</v>
      </c>
      <c r="D105" s="31" t="s">
        <v>166</v>
      </c>
      <c r="E105" s="31">
        <v>257</v>
      </c>
      <c r="F105" s="31" t="s">
        <v>311</v>
      </c>
      <c r="G105" s="38">
        <v>35000</v>
      </c>
      <c r="H105" s="38">
        <v>19000</v>
      </c>
      <c r="I105" s="38"/>
      <c r="J105" s="54">
        <f t="shared" si="2"/>
        <v>0.45714285714285718</v>
      </c>
    </row>
    <row r="106" spans="2:10" x14ac:dyDescent="0.3">
      <c r="B106" s="95">
        <v>31</v>
      </c>
      <c r="C106" s="71" t="s">
        <v>433</v>
      </c>
      <c r="D106" s="72" t="s">
        <v>167</v>
      </c>
      <c r="E106" s="72">
        <v>525</v>
      </c>
      <c r="F106" s="72" t="s">
        <v>312</v>
      </c>
      <c r="G106" s="73">
        <v>35000</v>
      </c>
      <c r="H106" s="73">
        <v>19000</v>
      </c>
      <c r="I106" s="73"/>
      <c r="J106" s="74">
        <f t="shared" si="2"/>
        <v>0.45714285714285718</v>
      </c>
    </row>
    <row r="107" spans="2:10" x14ac:dyDescent="0.3">
      <c r="B107" s="106">
        <v>31</v>
      </c>
      <c r="C107" s="46" t="s">
        <v>433</v>
      </c>
      <c r="D107" s="30" t="s">
        <v>168</v>
      </c>
      <c r="E107" s="30">
        <v>13</v>
      </c>
      <c r="F107" s="30" t="s">
        <v>312</v>
      </c>
      <c r="G107" s="37">
        <v>35000</v>
      </c>
      <c r="H107" s="37">
        <v>19000</v>
      </c>
      <c r="I107" s="37"/>
      <c r="J107" s="53">
        <f t="shared" si="2"/>
        <v>0.45714285714285718</v>
      </c>
    </row>
    <row r="108" spans="2:10" x14ac:dyDescent="0.3">
      <c r="B108" s="107">
        <v>31</v>
      </c>
      <c r="C108" s="47" t="s">
        <v>433</v>
      </c>
      <c r="D108" s="31" t="s">
        <v>169</v>
      </c>
      <c r="E108" s="31">
        <v>108</v>
      </c>
      <c r="F108" s="31" t="s">
        <v>312</v>
      </c>
      <c r="G108" s="38">
        <v>35000</v>
      </c>
      <c r="H108" s="38">
        <v>19000</v>
      </c>
      <c r="I108" s="38"/>
      <c r="J108" s="54">
        <f t="shared" si="2"/>
        <v>0.45714285714285718</v>
      </c>
    </row>
    <row r="109" spans="2:10" x14ac:dyDescent="0.3">
      <c r="B109" s="108">
        <v>32</v>
      </c>
      <c r="C109" s="75" t="s">
        <v>434</v>
      </c>
      <c r="D109" s="76" t="s">
        <v>194</v>
      </c>
      <c r="E109" s="76">
        <v>22</v>
      </c>
      <c r="F109" s="76" t="s">
        <v>313</v>
      </c>
      <c r="G109" s="77">
        <v>35000</v>
      </c>
      <c r="H109" s="77">
        <v>19000</v>
      </c>
      <c r="I109" s="77"/>
      <c r="J109" s="78">
        <f t="shared" si="2"/>
        <v>0.45714285714285718</v>
      </c>
    </row>
    <row r="110" spans="2:10" x14ac:dyDescent="0.3">
      <c r="B110" s="108">
        <v>33</v>
      </c>
      <c r="C110" s="75" t="s">
        <v>435</v>
      </c>
      <c r="D110" s="76" t="s">
        <v>39</v>
      </c>
      <c r="E110" s="76">
        <v>29</v>
      </c>
      <c r="F110" s="76" t="s">
        <v>314</v>
      </c>
      <c r="G110" s="77">
        <v>39000</v>
      </c>
      <c r="H110" s="77">
        <v>21000</v>
      </c>
      <c r="I110" s="77">
        <v>16786</v>
      </c>
      <c r="J110" s="78">
        <f>1-I110/G110</f>
        <v>0.56958974358974357</v>
      </c>
    </row>
    <row r="111" spans="2:10" x14ac:dyDescent="0.3">
      <c r="B111" s="95">
        <v>34</v>
      </c>
      <c r="C111" s="45" t="s">
        <v>436</v>
      </c>
      <c r="D111" s="25" t="s">
        <v>148</v>
      </c>
      <c r="E111" s="25">
        <v>247</v>
      </c>
      <c r="F111" s="25" t="s">
        <v>315</v>
      </c>
      <c r="G111" s="36">
        <v>39000</v>
      </c>
      <c r="H111" s="36">
        <v>21000</v>
      </c>
      <c r="I111" s="36">
        <v>16786</v>
      </c>
      <c r="J111" s="52">
        <f t="shared" ref="J111:J129" si="3">1-I111/G111</f>
        <v>0.56958974358974357</v>
      </c>
    </row>
    <row r="112" spans="2:10" x14ac:dyDescent="0.3">
      <c r="B112" s="106">
        <v>34</v>
      </c>
      <c r="C112" s="46" t="s">
        <v>436</v>
      </c>
      <c r="D112" s="30" t="s">
        <v>149</v>
      </c>
      <c r="E112" s="30">
        <v>59</v>
      </c>
      <c r="F112" s="30" t="s">
        <v>315</v>
      </c>
      <c r="G112" s="37">
        <v>39000</v>
      </c>
      <c r="H112" s="37">
        <v>21000</v>
      </c>
      <c r="I112" s="37">
        <v>16786</v>
      </c>
      <c r="J112" s="53">
        <f t="shared" si="3"/>
        <v>0.56958974358974357</v>
      </c>
    </row>
    <row r="113" spans="2:10" x14ac:dyDescent="0.3">
      <c r="B113" s="107">
        <v>34</v>
      </c>
      <c r="C113" s="67" t="s">
        <v>436</v>
      </c>
      <c r="D113" s="68" t="s">
        <v>150</v>
      </c>
      <c r="E113" s="68">
        <v>284</v>
      </c>
      <c r="F113" s="68" t="s">
        <v>315</v>
      </c>
      <c r="G113" s="69">
        <v>39000</v>
      </c>
      <c r="H113" s="69">
        <v>21000</v>
      </c>
      <c r="I113" s="69">
        <v>16786</v>
      </c>
      <c r="J113" s="70">
        <f t="shared" si="3"/>
        <v>0.56958974358974357</v>
      </c>
    </row>
    <row r="114" spans="2:10" x14ac:dyDescent="0.3">
      <c r="B114" s="95">
        <v>35</v>
      </c>
      <c r="C114" s="45" t="s">
        <v>437</v>
      </c>
      <c r="D114" s="25" t="s">
        <v>151</v>
      </c>
      <c r="E114" s="25">
        <v>90</v>
      </c>
      <c r="F114" s="25" t="s">
        <v>316</v>
      </c>
      <c r="G114" s="36">
        <v>39000</v>
      </c>
      <c r="H114" s="36">
        <v>21000</v>
      </c>
      <c r="I114" s="36">
        <v>16786</v>
      </c>
      <c r="J114" s="52">
        <f t="shared" si="3"/>
        <v>0.56958974358974357</v>
      </c>
    </row>
    <row r="115" spans="2:10" x14ac:dyDescent="0.3">
      <c r="B115" s="107">
        <v>35</v>
      </c>
      <c r="C115" s="67" t="s">
        <v>437</v>
      </c>
      <c r="D115" s="68" t="s">
        <v>152</v>
      </c>
      <c r="E115" s="68">
        <v>100</v>
      </c>
      <c r="F115" s="68" t="s">
        <v>316</v>
      </c>
      <c r="G115" s="69">
        <v>39000</v>
      </c>
      <c r="H115" s="69">
        <v>21000</v>
      </c>
      <c r="I115" s="69">
        <v>16786</v>
      </c>
      <c r="J115" s="70">
        <f t="shared" si="3"/>
        <v>0.56958974358974357</v>
      </c>
    </row>
    <row r="116" spans="2:10" x14ac:dyDescent="0.3">
      <c r="B116" s="95">
        <v>36</v>
      </c>
      <c r="C116" s="45" t="s">
        <v>438</v>
      </c>
      <c r="D116" s="25" t="s">
        <v>161</v>
      </c>
      <c r="E116" s="25">
        <v>239</v>
      </c>
      <c r="F116" s="25" t="s">
        <v>317</v>
      </c>
      <c r="G116" s="36">
        <v>39000</v>
      </c>
      <c r="H116" s="36">
        <v>21000</v>
      </c>
      <c r="I116" s="36">
        <v>16786</v>
      </c>
      <c r="J116" s="52">
        <f t="shared" si="3"/>
        <v>0.56958974358974357</v>
      </c>
    </row>
    <row r="117" spans="2:10" x14ac:dyDescent="0.3">
      <c r="B117" s="106">
        <v>36</v>
      </c>
      <c r="C117" s="46" t="s">
        <v>438</v>
      </c>
      <c r="D117" s="30" t="s">
        <v>162</v>
      </c>
      <c r="E117" s="30">
        <v>131</v>
      </c>
      <c r="F117" s="30" t="s">
        <v>317</v>
      </c>
      <c r="G117" s="37">
        <v>39000</v>
      </c>
      <c r="H117" s="37">
        <v>21000</v>
      </c>
      <c r="I117" s="37">
        <v>16786</v>
      </c>
      <c r="J117" s="53">
        <f t="shared" si="3"/>
        <v>0.56958974358974357</v>
      </c>
    </row>
    <row r="118" spans="2:10" x14ac:dyDescent="0.3">
      <c r="B118" s="107">
        <v>36</v>
      </c>
      <c r="C118" s="67" t="s">
        <v>438</v>
      </c>
      <c r="D118" s="68" t="s">
        <v>163</v>
      </c>
      <c r="E118" s="68">
        <v>328</v>
      </c>
      <c r="F118" s="68" t="s">
        <v>317</v>
      </c>
      <c r="G118" s="69">
        <v>39000</v>
      </c>
      <c r="H118" s="69">
        <v>21000</v>
      </c>
      <c r="I118" s="69">
        <v>16786</v>
      </c>
      <c r="J118" s="70">
        <f t="shared" si="3"/>
        <v>0.56958974358974357</v>
      </c>
    </row>
    <row r="119" spans="2:10" x14ac:dyDescent="0.3">
      <c r="B119" s="95">
        <v>37</v>
      </c>
      <c r="C119" s="71" t="s">
        <v>439</v>
      </c>
      <c r="D119" s="72" t="s">
        <v>170</v>
      </c>
      <c r="E119" s="72">
        <v>155</v>
      </c>
      <c r="F119" s="72" t="s">
        <v>318</v>
      </c>
      <c r="G119" s="73">
        <v>39000</v>
      </c>
      <c r="H119" s="73">
        <v>21000</v>
      </c>
      <c r="I119" s="73">
        <v>16786</v>
      </c>
      <c r="J119" s="74">
        <f t="shared" si="3"/>
        <v>0.56958974358974357</v>
      </c>
    </row>
    <row r="120" spans="2:10" x14ac:dyDescent="0.3">
      <c r="B120" s="106">
        <v>37</v>
      </c>
      <c r="C120" s="46" t="s">
        <v>439</v>
      </c>
      <c r="D120" s="30" t="s">
        <v>171</v>
      </c>
      <c r="E120" s="30">
        <v>39</v>
      </c>
      <c r="F120" s="30" t="s">
        <v>318</v>
      </c>
      <c r="G120" s="37">
        <v>39000</v>
      </c>
      <c r="H120" s="37">
        <v>21000</v>
      </c>
      <c r="I120" s="37">
        <v>16786</v>
      </c>
      <c r="J120" s="53">
        <f t="shared" si="3"/>
        <v>0.56958974358974357</v>
      </c>
    </row>
    <row r="121" spans="2:10" x14ac:dyDescent="0.3">
      <c r="B121" s="107">
        <v>37</v>
      </c>
      <c r="C121" s="47" t="s">
        <v>439</v>
      </c>
      <c r="D121" s="31" t="s">
        <v>172</v>
      </c>
      <c r="E121" s="31">
        <v>33</v>
      </c>
      <c r="F121" s="31" t="s">
        <v>318</v>
      </c>
      <c r="G121" s="38">
        <v>39000</v>
      </c>
      <c r="H121" s="38">
        <v>21000</v>
      </c>
      <c r="I121" s="38">
        <v>16786</v>
      </c>
      <c r="J121" s="54">
        <f t="shared" si="3"/>
        <v>0.56958974358974357</v>
      </c>
    </row>
    <row r="122" spans="2:10" x14ac:dyDescent="0.3">
      <c r="B122" s="95">
        <v>38</v>
      </c>
      <c r="C122" s="71" t="s">
        <v>440</v>
      </c>
      <c r="D122" s="72" t="s">
        <v>192</v>
      </c>
      <c r="E122" s="72">
        <v>47</v>
      </c>
      <c r="F122" s="72" t="s">
        <v>319</v>
      </c>
      <c r="G122" s="73">
        <v>39000</v>
      </c>
      <c r="H122" s="73">
        <v>21000</v>
      </c>
      <c r="I122" s="73">
        <v>16786</v>
      </c>
      <c r="J122" s="74">
        <f t="shared" si="3"/>
        <v>0.56958974358974357</v>
      </c>
    </row>
    <row r="123" spans="2:10" x14ac:dyDescent="0.3">
      <c r="B123" s="107">
        <v>38</v>
      </c>
      <c r="C123" s="47" t="s">
        <v>440</v>
      </c>
      <c r="D123" s="31" t="s">
        <v>193</v>
      </c>
      <c r="E123" s="31">
        <v>27</v>
      </c>
      <c r="F123" s="31" t="s">
        <v>319</v>
      </c>
      <c r="G123" s="38">
        <v>39000</v>
      </c>
      <c r="H123" s="38">
        <v>21000</v>
      </c>
      <c r="I123" s="38">
        <v>16786</v>
      </c>
      <c r="J123" s="54">
        <f t="shared" si="3"/>
        <v>0.56958974358974357</v>
      </c>
    </row>
    <row r="124" spans="2:10" x14ac:dyDescent="0.3">
      <c r="B124" s="112">
        <v>39</v>
      </c>
      <c r="C124" s="87" t="s">
        <v>441</v>
      </c>
      <c r="D124" s="88" t="s">
        <v>173</v>
      </c>
      <c r="E124" s="88">
        <v>80</v>
      </c>
      <c r="F124" s="88" t="s">
        <v>320</v>
      </c>
      <c r="G124" s="89">
        <v>45000</v>
      </c>
      <c r="H124" s="89">
        <v>25000</v>
      </c>
      <c r="I124" s="89">
        <v>20320</v>
      </c>
      <c r="J124" s="90">
        <f t="shared" si="3"/>
        <v>0.54844444444444451</v>
      </c>
    </row>
    <row r="125" spans="2:10" x14ac:dyDescent="0.3">
      <c r="B125" s="107">
        <v>39</v>
      </c>
      <c r="C125" s="47" t="s">
        <v>441</v>
      </c>
      <c r="D125" s="31" t="s">
        <v>174</v>
      </c>
      <c r="E125" s="31">
        <v>46</v>
      </c>
      <c r="F125" s="31" t="s">
        <v>320</v>
      </c>
      <c r="G125" s="38">
        <v>45000</v>
      </c>
      <c r="H125" s="38">
        <v>25000</v>
      </c>
      <c r="I125" s="38">
        <v>20320</v>
      </c>
      <c r="J125" s="54">
        <f t="shared" si="3"/>
        <v>0.54844444444444451</v>
      </c>
    </row>
    <row r="126" spans="2:10" x14ac:dyDescent="0.3">
      <c r="B126" s="108">
        <v>40</v>
      </c>
      <c r="C126" s="75" t="s">
        <v>442</v>
      </c>
      <c r="D126" s="76" t="s">
        <v>321</v>
      </c>
      <c r="E126" s="76">
        <v>15</v>
      </c>
      <c r="F126" s="76" t="s">
        <v>322</v>
      </c>
      <c r="G126" s="77">
        <v>59000</v>
      </c>
      <c r="H126" s="77">
        <v>27000</v>
      </c>
      <c r="I126" s="77">
        <v>22087</v>
      </c>
      <c r="J126" s="78">
        <f t="shared" si="3"/>
        <v>0.62564406779661019</v>
      </c>
    </row>
    <row r="127" spans="2:10" x14ac:dyDescent="0.3">
      <c r="B127" s="95">
        <v>41</v>
      </c>
      <c r="C127" s="45" t="s">
        <v>443</v>
      </c>
      <c r="D127" s="25" t="s">
        <v>81</v>
      </c>
      <c r="E127" s="25">
        <v>70</v>
      </c>
      <c r="F127" s="25" t="s">
        <v>323</v>
      </c>
      <c r="G127" s="36">
        <v>52000</v>
      </c>
      <c r="H127" s="36">
        <v>29000</v>
      </c>
      <c r="I127" s="36">
        <v>23854</v>
      </c>
      <c r="J127" s="52">
        <f t="shared" si="3"/>
        <v>0.54126923076923084</v>
      </c>
    </row>
    <row r="128" spans="2:10" x14ac:dyDescent="0.3">
      <c r="B128" s="107">
        <v>41</v>
      </c>
      <c r="C128" s="67" t="s">
        <v>443</v>
      </c>
      <c r="D128" s="68" t="s">
        <v>82</v>
      </c>
      <c r="E128" s="68">
        <v>102</v>
      </c>
      <c r="F128" s="68" t="s">
        <v>323</v>
      </c>
      <c r="G128" s="69">
        <v>52000</v>
      </c>
      <c r="H128" s="69">
        <v>29000</v>
      </c>
      <c r="I128" s="69">
        <v>23854</v>
      </c>
      <c r="J128" s="70">
        <f t="shared" si="3"/>
        <v>0.54126923076923084</v>
      </c>
    </row>
    <row r="129" spans="2:10" x14ac:dyDescent="0.3">
      <c r="B129" s="108">
        <v>42</v>
      </c>
      <c r="C129" s="75" t="s">
        <v>444</v>
      </c>
      <c r="D129" s="76" t="s">
        <v>236</v>
      </c>
      <c r="E129" s="76">
        <v>51</v>
      </c>
      <c r="F129" s="76" t="s">
        <v>322</v>
      </c>
      <c r="G129" s="77">
        <v>59000</v>
      </c>
      <c r="H129" s="77">
        <v>32000</v>
      </c>
      <c r="I129" s="77">
        <v>26505</v>
      </c>
      <c r="J129" s="78">
        <f t="shared" si="3"/>
        <v>0.55076271186440673</v>
      </c>
    </row>
    <row r="130" spans="2:10" x14ac:dyDescent="0.3">
      <c r="B130" s="95">
        <v>43</v>
      </c>
      <c r="C130" s="71" t="s">
        <v>445</v>
      </c>
      <c r="D130" s="72" t="s">
        <v>495</v>
      </c>
      <c r="E130" s="72">
        <v>115</v>
      </c>
      <c r="F130" s="72" t="s">
        <v>325</v>
      </c>
      <c r="G130" s="73">
        <v>39000</v>
      </c>
      <c r="H130" s="73">
        <v>16000</v>
      </c>
      <c r="I130" s="73"/>
      <c r="J130" s="74">
        <f t="shared" ref="J130:J147" si="4">1-H130/G130</f>
        <v>0.58974358974358976</v>
      </c>
    </row>
    <row r="131" spans="2:10" x14ac:dyDescent="0.3">
      <c r="B131" s="106">
        <v>43</v>
      </c>
      <c r="C131" s="46" t="s">
        <v>445</v>
      </c>
      <c r="D131" s="30" t="s">
        <v>496</v>
      </c>
      <c r="E131" s="30">
        <v>131</v>
      </c>
      <c r="F131" s="30" t="s">
        <v>325</v>
      </c>
      <c r="G131" s="37">
        <v>39000</v>
      </c>
      <c r="H131" s="37">
        <v>16000</v>
      </c>
      <c r="I131" s="37"/>
      <c r="J131" s="53">
        <f t="shared" si="4"/>
        <v>0.58974358974358976</v>
      </c>
    </row>
    <row r="132" spans="2:10" x14ac:dyDescent="0.3">
      <c r="B132" s="107">
        <v>43</v>
      </c>
      <c r="C132" s="47" t="s">
        <v>445</v>
      </c>
      <c r="D132" s="31" t="s">
        <v>497</v>
      </c>
      <c r="E132" s="31">
        <v>158</v>
      </c>
      <c r="F132" s="31" t="s">
        <v>325</v>
      </c>
      <c r="G132" s="38">
        <v>39000</v>
      </c>
      <c r="H132" s="38">
        <v>16000</v>
      </c>
      <c r="I132" s="38"/>
      <c r="J132" s="54">
        <f t="shared" si="4"/>
        <v>0.58974358974358976</v>
      </c>
    </row>
    <row r="133" spans="2:10" x14ac:dyDescent="0.3">
      <c r="B133" s="95">
        <v>44</v>
      </c>
      <c r="C133" s="45" t="s">
        <v>447</v>
      </c>
      <c r="D133" s="25" t="s">
        <v>92</v>
      </c>
      <c r="E133" s="25">
        <v>136</v>
      </c>
      <c r="F133" s="25" t="s">
        <v>327</v>
      </c>
      <c r="G133" s="36">
        <v>39000</v>
      </c>
      <c r="H133" s="36">
        <v>17000</v>
      </c>
      <c r="I133" s="36"/>
      <c r="J133" s="52">
        <f>1-H133/G133</f>
        <v>0.5641025641025641</v>
      </c>
    </row>
    <row r="134" spans="2:10" x14ac:dyDescent="0.3">
      <c r="B134" s="106">
        <v>45</v>
      </c>
      <c r="C134" s="46" t="s">
        <v>447</v>
      </c>
      <c r="D134" s="30" t="s">
        <v>94</v>
      </c>
      <c r="E134" s="30">
        <v>479</v>
      </c>
      <c r="F134" s="30" t="s">
        <v>327</v>
      </c>
      <c r="G134" s="37">
        <v>39000</v>
      </c>
      <c r="H134" s="37">
        <v>17000</v>
      </c>
      <c r="I134" s="37"/>
      <c r="J134" s="53">
        <f>1-H134/G134</f>
        <v>0.5641025641025641</v>
      </c>
    </row>
    <row r="135" spans="2:10" x14ac:dyDescent="0.3">
      <c r="B135" s="106">
        <v>45</v>
      </c>
      <c r="C135" s="46" t="s">
        <v>447</v>
      </c>
      <c r="D135" s="30" t="s">
        <v>96</v>
      </c>
      <c r="E135" s="30">
        <v>482</v>
      </c>
      <c r="F135" s="30" t="s">
        <v>327</v>
      </c>
      <c r="G135" s="37">
        <v>39000</v>
      </c>
      <c r="H135" s="37">
        <v>17000</v>
      </c>
      <c r="I135" s="37"/>
      <c r="J135" s="53">
        <f>1-H135/G135</f>
        <v>0.5641025641025641</v>
      </c>
    </row>
    <row r="136" spans="2:10" x14ac:dyDescent="0.3">
      <c r="B136" s="106">
        <v>45</v>
      </c>
      <c r="C136" s="59" t="s">
        <v>447</v>
      </c>
      <c r="D136" s="60" t="s">
        <v>98</v>
      </c>
      <c r="E136" s="60">
        <v>531</v>
      </c>
      <c r="F136" s="60" t="s">
        <v>327</v>
      </c>
      <c r="G136" s="61">
        <v>39000</v>
      </c>
      <c r="H136" s="61">
        <v>17000</v>
      </c>
      <c r="I136" s="61"/>
      <c r="J136" s="62">
        <f>1-H136/G136</f>
        <v>0.5641025641025641</v>
      </c>
    </row>
    <row r="137" spans="2:10" x14ac:dyDescent="0.3">
      <c r="B137" s="107">
        <v>45</v>
      </c>
      <c r="C137" s="47" t="s">
        <v>447</v>
      </c>
      <c r="D137" s="31" t="s">
        <v>100</v>
      </c>
      <c r="E137" s="31">
        <v>125</v>
      </c>
      <c r="F137" s="31" t="s">
        <v>327</v>
      </c>
      <c r="G137" s="38">
        <v>39000</v>
      </c>
      <c r="H137" s="38">
        <v>17000</v>
      </c>
      <c r="I137" s="38"/>
      <c r="J137" s="54">
        <f>1-H137/G137</f>
        <v>0.5641025641025641</v>
      </c>
    </row>
    <row r="138" spans="2:10" x14ac:dyDescent="0.3">
      <c r="B138" s="95">
        <v>45</v>
      </c>
      <c r="C138" s="71" t="s">
        <v>446</v>
      </c>
      <c r="D138" s="72" t="s">
        <v>177</v>
      </c>
      <c r="E138" s="72">
        <v>156</v>
      </c>
      <c r="F138" s="72" t="s">
        <v>326</v>
      </c>
      <c r="G138" s="73">
        <v>39000</v>
      </c>
      <c r="H138" s="73">
        <v>18000</v>
      </c>
      <c r="I138" s="73"/>
      <c r="J138" s="74">
        <f t="shared" si="4"/>
        <v>0.53846153846153844</v>
      </c>
    </row>
    <row r="139" spans="2:10" x14ac:dyDescent="0.3">
      <c r="B139" s="107">
        <v>44</v>
      </c>
      <c r="C139" s="47" t="s">
        <v>446</v>
      </c>
      <c r="D139" s="31" t="s">
        <v>181</v>
      </c>
      <c r="E139" s="31">
        <v>59</v>
      </c>
      <c r="F139" s="31" t="s">
        <v>326</v>
      </c>
      <c r="G139" s="38">
        <v>39000</v>
      </c>
      <c r="H139" s="38">
        <v>18000</v>
      </c>
      <c r="I139" s="38"/>
      <c r="J139" s="54">
        <f t="shared" si="4"/>
        <v>0.53846153846153844</v>
      </c>
    </row>
    <row r="140" spans="2:10" x14ac:dyDescent="0.3">
      <c r="B140" s="95">
        <v>46</v>
      </c>
      <c r="C140" s="45" t="s">
        <v>448</v>
      </c>
      <c r="D140" s="25" t="s">
        <v>102</v>
      </c>
      <c r="E140" s="25">
        <v>318</v>
      </c>
      <c r="F140" s="25" t="s">
        <v>328</v>
      </c>
      <c r="G140" s="36">
        <v>45000</v>
      </c>
      <c r="H140" s="36">
        <v>18000</v>
      </c>
      <c r="I140" s="36"/>
      <c r="J140" s="52">
        <f t="shared" si="4"/>
        <v>0.6</v>
      </c>
    </row>
    <row r="141" spans="2:10" x14ac:dyDescent="0.3">
      <c r="B141" s="106">
        <v>46</v>
      </c>
      <c r="C141" s="46" t="s">
        <v>448</v>
      </c>
      <c r="D141" s="30" t="s">
        <v>104</v>
      </c>
      <c r="E141" s="30">
        <v>136</v>
      </c>
      <c r="F141" s="30" t="s">
        <v>328</v>
      </c>
      <c r="G141" s="37">
        <v>45000</v>
      </c>
      <c r="H141" s="37">
        <v>18000</v>
      </c>
      <c r="I141" s="37"/>
      <c r="J141" s="53">
        <f t="shared" si="4"/>
        <v>0.6</v>
      </c>
    </row>
    <row r="142" spans="2:10" x14ac:dyDescent="0.3">
      <c r="B142" s="106">
        <v>46</v>
      </c>
      <c r="C142" s="46" t="s">
        <v>448</v>
      </c>
      <c r="D142" s="30" t="s">
        <v>106</v>
      </c>
      <c r="E142" s="30">
        <v>228</v>
      </c>
      <c r="F142" s="30" t="s">
        <v>328</v>
      </c>
      <c r="G142" s="37">
        <v>45000</v>
      </c>
      <c r="H142" s="37">
        <v>18000</v>
      </c>
      <c r="I142" s="37"/>
      <c r="J142" s="53">
        <f t="shared" si="4"/>
        <v>0.6</v>
      </c>
    </row>
    <row r="143" spans="2:10" x14ac:dyDescent="0.3">
      <c r="B143" s="106">
        <v>46</v>
      </c>
      <c r="C143" s="59" t="s">
        <v>448</v>
      </c>
      <c r="D143" s="60" t="s">
        <v>108</v>
      </c>
      <c r="E143" s="60">
        <v>411</v>
      </c>
      <c r="F143" s="60" t="s">
        <v>328</v>
      </c>
      <c r="G143" s="61">
        <v>45000</v>
      </c>
      <c r="H143" s="61">
        <v>18000</v>
      </c>
      <c r="I143" s="61"/>
      <c r="J143" s="62">
        <f t="shared" si="4"/>
        <v>0.6</v>
      </c>
    </row>
    <row r="144" spans="2:10" x14ac:dyDescent="0.3">
      <c r="B144" s="107">
        <v>46</v>
      </c>
      <c r="C144" s="47" t="s">
        <v>448</v>
      </c>
      <c r="D144" s="31" t="s">
        <v>110</v>
      </c>
      <c r="E144" s="31">
        <v>273</v>
      </c>
      <c r="F144" s="31" t="s">
        <v>328</v>
      </c>
      <c r="G144" s="38">
        <v>45000</v>
      </c>
      <c r="H144" s="38">
        <v>18000</v>
      </c>
      <c r="I144" s="38"/>
      <c r="J144" s="54">
        <f t="shared" si="4"/>
        <v>0.6</v>
      </c>
    </row>
    <row r="145" spans="2:10" x14ac:dyDescent="0.3">
      <c r="B145" s="95">
        <v>47</v>
      </c>
      <c r="C145" s="71" t="s">
        <v>449</v>
      </c>
      <c r="D145" s="72" t="s">
        <v>237</v>
      </c>
      <c r="E145" s="72">
        <v>118</v>
      </c>
      <c r="F145" s="72" t="s">
        <v>329</v>
      </c>
      <c r="G145" s="73">
        <v>45000</v>
      </c>
      <c r="H145" s="73">
        <v>18000</v>
      </c>
      <c r="I145" s="73"/>
      <c r="J145" s="74">
        <f t="shared" si="4"/>
        <v>0.6</v>
      </c>
    </row>
    <row r="146" spans="2:10" x14ac:dyDescent="0.3">
      <c r="B146" s="106">
        <v>47</v>
      </c>
      <c r="C146" s="46" t="s">
        <v>449</v>
      </c>
      <c r="D146" s="30" t="s">
        <v>239</v>
      </c>
      <c r="E146" s="30">
        <v>69</v>
      </c>
      <c r="F146" s="30" t="s">
        <v>329</v>
      </c>
      <c r="G146" s="37">
        <v>45000</v>
      </c>
      <c r="H146" s="37">
        <v>18000</v>
      </c>
      <c r="I146" s="37"/>
      <c r="J146" s="53">
        <f t="shared" si="4"/>
        <v>0.6</v>
      </c>
    </row>
    <row r="147" spans="2:10" x14ac:dyDescent="0.3">
      <c r="B147" s="107">
        <v>47</v>
      </c>
      <c r="C147" s="47" t="s">
        <v>449</v>
      </c>
      <c r="D147" s="31" t="s">
        <v>241</v>
      </c>
      <c r="E147" s="31">
        <v>30</v>
      </c>
      <c r="F147" s="31" t="s">
        <v>329</v>
      </c>
      <c r="G147" s="38">
        <v>45000</v>
      </c>
      <c r="H147" s="38">
        <v>18000</v>
      </c>
      <c r="I147" s="38"/>
      <c r="J147" s="54">
        <f t="shared" si="4"/>
        <v>0.6</v>
      </c>
    </row>
    <row r="148" spans="2:10" x14ac:dyDescent="0.3">
      <c r="B148" s="95">
        <v>48</v>
      </c>
      <c r="C148" s="71" t="s">
        <v>450</v>
      </c>
      <c r="D148" s="72" t="s">
        <v>120</v>
      </c>
      <c r="E148" s="72">
        <v>38</v>
      </c>
      <c r="F148" s="72" t="s">
        <v>330</v>
      </c>
      <c r="G148" s="73">
        <v>39000</v>
      </c>
      <c r="H148" s="73">
        <v>21000</v>
      </c>
      <c r="I148" s="73">
        <v>16786</v>
      </c>
      <c r="J148" s="74">
        <f t="shared" ref="J148:J193" si="5">1-I148/G148</f>
        <v>0.56958974358974357</v>
      </c>
    </row>
    <row r="149" spans="2:10" x14ac:dyDescent="0.3">
      <c r="B149" s="106">
        <v>48</v>
      </c>
      <c r="C149" s="46" t="s">
        <v>450</v>
      </c>
      <c r="D149" s="30" t="s">
        <v>121</v>
      </c>
      <c r="E149" s="30">
        <v>14</v>
      </c>
      <c r="F149" s="30" t="s">
        <v>330</v>
      </c>
      <c r="G149" s="37">
        <v>39000</v>
      </c>
      <c r="H149" s="37">
        <v>21000</v>
      </c>
      <c r="I149" s="37">
        <v>16786</v>
      </c>
      <c r="J149" s="53">
        <f t="shared" si="5"/>
        <v>0.56958974358974357</v>
      </c>
    </row>
    <row r="150" spans="2:10" x14ac:dyDescent="0.3">
      <c r="B150" s="107">
        <v>48</v>
      </c>
      <c r="C150" s="47" t="s">
        <v>450</v>
      </c>
      <c r="D150" s="31" t="s">
        <v>122</v>
      </c>
      <c r="E150" s="31">
        <v>16</v>
      </c>
      <c r="F150" s="31" t="s">
        <v>330</v>
      </c>
      <c r="G150" s="38">
        <v>39000</v>
      </c>
      <c r="H150" s="38">
        <v>21000</v>
      </c>
      <c r="I150" s="38">
        <v>16786</v>
      </c>
      <c r="J150" s="54">
        <f t="shared" si="5"/>
        <v>0.56958974358974357</v>
      </c>
    </row>
    <row r="151" spans="2:10" x14ac:dyDescent="0.3">
      <c r="B151" s="95">
        <v>49</v>
      </c>
      <c r="C151" s="45" t="s">
        <v>451</v>
      </c>
      <c r="D151" s="25" t="s">
        <v>175</v>
      </c>
      <c r="E151" s="25">
        <v>63</v>
      </c>
      <c r="F151" s="25" t="s">
        <v>331</v>
      </c>
      <c r="G151" s="36">
        <v>39000</v>
      </c>
      <c r="H151" s="36">
        <v>21000</v>
      </c>
      <c r="I151" s="36">
        <v>16786</v>
      </c>
      <c r="J151" s="52">
        <f t="shared" si="5"/>
        <v>0.56958974358974357</v>
      </c>
    </row>
    <row r="152" spans="2:10" x14ac:dyDescent="0.3">
      <c r="B152" s="107">
        <v>49</v>
      </c>
      <c r="C152" s="67" t="s">
        <v>451</v>
      </c>
      <c r="D152" s="68" t="s">
        <v>176</v>
      </c>
      <c r="E152" s="68">
        <v>95</v>
      </c>
      <c r="F152" s="68" t="s">
        <v>331</v>
      </c>
      <c r="G152" s="69">
        <v>39000</v>
      </c>
      <c r="H152" s="69">
        <v>21000</v>
      </c>
      <c r="I152" s="69">
        <v>16786</v>
      </c>
      <c r="J152" s="70">
        <f t="shared" si="5"/>
        <v>0.56958974358974357</v>
      </c>
    </row>
    <row r="153" spans="2:10" x14ac:dyDescent="0.3">
      <c r="B153" s="95">
        <v>50</v>
      </c>
      <c r="C153" s="45" t="s">
        <v>452</v>
      </c>
      <c r="D153" s="25" t="s">
        <v>195</v>
      </c>
      <c r="E153" s="25">
        <v>22</v>
      </c>
      <c r="F153" s="25" t="s">
        <v>332</v>
      </c>
      <c r="G153" s="36">
        <v>39000</v>
      </c>
      <c r="H153" s="36">
        <v>21000</v>
      </c>
      <c r="I153" s="36">
        <v>16786</v>
      </c>
      <c r="J153" s="52">
        <f t="shared" si="5"/>
        <v>0.56958974358974357</v>
      </c>
    </row>
    <row r="154" spans="2:10" x14ac:dyDescent="0.3">
      <c r="B154" s="107">
        <v>50</v>
      </c>
      <c r="C154" s="67" t="s">
        <v>452</v>
      </c>
      <c r="D154" s="68" t="s">
        <v>196</v>
      </c>
      <c r="E154" s="68">
        <v>94</v>
      </c>
      <c r="F154" s="68" t="s">
        <v>332</v>
      </c>
      <c r="G154" s="69">
        <v>39000</v>
      </c>
      <c r="H154" s="69">
        <v>21000</v>
      </c>
      <c r="I154" s="69">
        <v>16786</v>
      </c>
      <c r="J154" s="70">
        <f t="shared" si="5"/>
        <v>0.56958974358974357</v>
      </c>
    </row>
    <row r="155" spans="2:10" x14ac:dyDescent="0.3">
      <c r="B155" s="95">
        <v>51</v>
      </c>
      <c r="C155" s="45" t="s">
        <v>453</v>
      </c>
      <c r="D155" s="25" t="s">
        <v>333</v>
      </c>
      <c r="E155" s="25">
        <v>22</v>
      </c>
      <c r="F155" s="25" t="s">
        <v>334</v>
      </c>
      <c r="G155" s="36">
        <v>39000</v>
      </c>
      <c r="H155" s="36">
        <v>21000</v>
      </c>
      <c r="I155" s="36">
        <v>16786</v>
      </c>
      <c r="J155" s="52">
        <f t="shared" si="5"/>
        <v>0.56958974358974357</v>
      </c>
    </row>
    <row r="156" spans="2:10" x14ac:dyDescent="0.3">
      <c r="B156" s="106">
        <v>51</v>
      </c>
      <c r="C156" s="46" t="s">
        <v>453</v>
      </c>
      <c r="D156" s="30" t="s">
        <v>335</v>
      </c>
      <c r="E156" s="30">
        <v>24</v>
      </c>
      <c r="F156" s="30" t="s">
        <v>334</v>
      </c>
      <c r="G156" s="37">
        <v>39000</v>
      </c>
      <c r="H156" s="37">
        <v>21000</v>
      </c>
      <c r="I156" s="37">
        <v>16786</v>
      </c>
      <c r="J156" s="53">
        <f t="shared" si="5"/>
        <v>0.56958974358974357</v>
      </c>
    </row>
    <row r="157" spans="2:10" x14ac:dyDescent="0.3">
      <c r="B157" s="107">
        <v>51</v>
      </c>
      <c r="C157" s="67" t="s">
        <v>453</v>
      </c>
      <c r="D157" s="68" t="s">
        <v>336</v>
      </c>
      <c r="E157" s="68">
        <v>37</v>
      </c>
      <c r="F157" s="68" t="s">
        <v>334</v>
      </c>
      <c r="G157" s="69">
        <v>39000</v>
      </c>
      <c r="H157" s="69">
        <v>21000</v>
      </c>
      <c r="I157" s="69">
        <v>16786</v>
      </c>
      <c r="J157" s="70">
        <f t="shared" si="5"/>
        <v>0.56958974358974357</v>
      </c>
    </row>
    <row r="158" spans="2:10" x14ac:dyDescent="0.3">
      <c r="B158" s="95">
        <v>52</v>
      </c>
      <c r="C158" s="71" t="s">
        <v>454</v>
      </c>
      <c r="D158" s="72" t="s">
        <v>498</v>
      </c>
      <c r="E158" s="72">
        <v>575</v>
      </c>
      <c r="F158" s="72" t="s">
        <v>337</v>
      </c>
      <c r="G158" s="73">
        <v>59000</v>
      </c>
      <c r="H158" s="73">
        <v>24000</v>
      </c>
      <c r="I158" s="73">
        <v>19437</v>
      </c>
      <c r="J158" s="74">
        <f t="shared" si="5"/>
        <v>0.67055932203389834</v>
      </c>
    </row>
    <row r="159" spans="2:10" x14ac:dyDescent="0.3">
      <c r="B159" s="106">
        <v>52</v>
      </c>
      <c r="C159" s="46" t="s">
        <v>454</v>
      </c>
      <c r="D159" s="30" t="s">
        <v>499</v>
      </c>
      <c r="E159" s="30">
        <v>262</v>
      </c>
      <c r="F159" s="30" t="s">
        <v>337</v>
      </c>
      <c r="G159" s="37">
        <v>59000</v>
      </c>
      <c r="H159" s="37">
        <v>24000</v>
      </c>
      <c r="I159" s="37">
        <v>19437</v>
      </c>
      <c r="J159" s="53">
        <f t="shared" si="5"/>
        <v>0.67055932203389834</v>
      </c>
    </row>
    <row r="160" spans="2:10" x14ac:dyDescent="0.3">
      <c r="B160" s="107">
        <v>52</v>
      </c>
      <c r="C160" s="47" t="s">
        <v>454</v>
      </c>
      <c r="D160" s="31" t="s">
        <v>500</v>
      </c>
      <c r="E160" s="31">
        <v>604</v>
      </c>
      <c r="F160" s="31" t="s">
        <v>337</v>
      </c>
      <c r="G160" s="38">
        <v>59000</v>
      </c>
      <c r="H160" s="38">
        <v>24000</v>
      </c>
      <c r="I160" s="38">
        <v>19437</v>
      </c>
      <c r="J160" s="54">
        <f t="shared" si="5"/>
        <v>0.67055932203389834</v>
      </c>
    </row>
    <row r="161" spans="2:10" x14ac:dyDescent="0.3">
      <c r="B161" s="95">
        <v>53</v>
      </c>
      <c r="C161" s="45" t="s">
        <v>455</v>
      </c>
      <c r="D161" s="25" t="s">
        <v>123</v>
      </c>
      <c r="E161" s="25">
        <v>41</v>
      </c>
      <c r="F161" s="25" t="s">
        <v>338</v>
      </c>
      <c r="G161" s="36">
        <v>45000</v>
      </c>
      <c r="H161" s="36">
        <v>24000</v>
      </c>
      <c r="I161" s="36">
        <v>19437</v>
      </c>
      <c r="J161" s="52">
        <f t="shared" si="5"/>
        <v>0.56806666666666672</v>
      </c>
    </row>
    <row r="162" spans="2:10" x14ac:dyDescent="0.3">
      <c r="B162" s="106">
        <v>53</v>
      </c>
      <c r="C162" s="59" t="s">
        <v>455</v>
      </c>
      <c r="D162" s="60" t="s">
        <v>124</v>
      </c>
      <c r="E162" s="60">
        <v>111</v>
      </c>
      <c r="F162" s="60" t="s">
        <v>338</v>
      </c>
      <c r="G162" s="61">
        <v>45000</v>
      </c>
      <c r="H162" s="61">
        <v>24000</v>
      </c>
      <c r="I162" s="61">
        <v>19437</v>
      </c>
      <c r="J162" s="62">
        <f t="shared" si="5"/>
        <v>0.56806666666666672</v>
      </c>
    </row>
    <row r="163" spans="2:10" x14ac:dyDescent="0.3">
      <c r="B163" s="107">
        <v>53</v>
      </c>
      <c r="C163" s="47" t="s">
        <v>455</v>
      </c>
      <c r="D163" s="31" t="s">
        <v>125</v>
      </c>
      <c r="E163" s="31">
        <v>75</v>
      </c>
      <c r="F163" s="31" t="s">
        <v>338</v>
      </c>
      <c r="G163" s="38">
        <v>45000</v>
      </c>
      <c r="H163" s="38">
        <v>24000</v>
      </c>
      <c r="I163" s="38">
        <v>19437</v>
      </c>
      <c r="J163" s="54">
        <f t="shared" si="5"/>
        <v>0.56806666666666672</v>
      </c>
    </row>
    <row r="164" spans="2:10" x14ac:dyDescent="0.3">
      <c r="B164" s="95">
        <v>54</v>
      </c>
      <c r="C164" s="71" t="s">
        <v>456</v>
      </c>
      <c r="D164" s="72" t="s">
        <v>243</v>
      </c>
      <c r="E164" s="72">
        <v>36</v>
      </c>
      <c r="F164" s="72" t="s">
        <v>339</v>
      </c>
      <c r="G164" s="73">
        <v>49000</v>
      </c>
      <c r="H164" s="73">
        <v>26000</v>
      </c>
      <c r="I164" s="73">
        <v>21204</v>
      </c>
      <c r="J164" s="74">
        <f t="shared" si="5"/>
        <v>0.56726530612244896</v>
      </c>
    </row>
    <row r="165" spans="2:10" x14ac:dyDescent="0.3">
      <c r="B165" s="107">
        <v>54</v>
      </c>
      <c r="C165" s="47" t="s">
        <v>456</v>
      </c>
      <c r="D165" s="31" t="s">
        <v>244</v>
      </c>
      <c r="E165" s="31">
        <v>23</v>
      </c>
      <c r="F165" s="31" t="s">
        <v>339</v>
      </c>
      <c r="G165" s="38">
        <v>49000</v>
      </c>
      <c r="H165" s="38">
        <v>26000</v>
      </c>
      <c r="I165" s="38">
        <v>21204</v>
      </c>
      <c r="J165" s="54">
        <f t="shared" si="5"/>
        <v>0.56726530612244896</v>
      </c>
    </row>
    <row r="166" spans="2:10" x14ac:dyDescent="0.3">
      <c r="B166" s="95">
        <v>55</v>
      </c>
      <c r="C166" s="45" t="s">
        <v>457</v>
      </c>
      <c r="D166" s="25" t="s">
        <v>340</v>
      </c>
      <c r="E166" s="25">
        <v>75</v>
      </c>
      <c r="F166" s="25" t="s">
        <v>341</v>
      </c>
      <c r="G166" s="36">
        <v>49000</v>
      </c>
      <c r="H166" s="36">
        <v>26000</v>
      </c>
      <c r="I166" s="36">
        <v>21204</v>
      </c>
      <c r="J166" s="52">
        <f t="shared" si="5"/>
        <v>0.56726530612244896</v>
      </c>
    </row>
    <row r="167" spans="2:10" x14ac:dyDescent="0.3">
      <c r="B167" s="107">
        <v>55</v>
      </c>
      <c r="C167" s="67" t="s">
        <v>457</v>
      </c>
      <c r="D167" s="68" t="s">
        <v>342</v>
      </c>
      <c r="E167" s="68">
        <v>99</v>
      </c>
      <c r="F167" s="68" t="s">
        <v>341</v>
      </c>
      <c r="G167" s="69">
        <v>49000</v>
      </c>
      <c r="H167" s="69">
        <v>26000</v>
      </c>
      <c r="I167" s="69">
        <v>21204</v>
      </c>
      <c r="J167" s="70">
        <f t="shared" si="5"/>
        <v>0.56726530612244896</v>
      </c>
    </row>
    <row r="168" spans="2:10" x14ac:dyDescent="0.3">
      <c r="B168" s="95">
        <v>56</v>
      </c>
      <c r="C168" s="71" t="s">
        <v>458</v>
      </c>
      <c r="D168" s="72" t="s">
        <v>183</v>
      </c>
      <c r="E168" s="72">
        <v>18</v>
      </c>
      <c r="F168" s="72" t="s">
        <v>343</v>
      </c>
      <c r="G168" s="73">
        <v>49000</v>
      </c>
      <c r="H168" s="73">
        <v>27000</v>
      </c>
      <c r="I168" s="73">
        <v>22087</v>
      </c>
      <c r="J168" s="74">
        <f t="shared" si="5"/>
        <v>0.54924489795918374</v>
      </c>
    </row>
    <row r="169" spans="2:10" x14ac:dyDescent="0.3">
      <c r="B169" s="95">
        <v>57</v>
      </c>
      <c r="C169" s="71" t="s">
        <v>459</v>
      </c>
      <c r="D169" s="72" t="s">
        <v>184</v>
      </c>
      <c r="E169" s="72">
        <v>99</v>
      </c>
      <c r="F169" s="72" t="s">
        <v>344</v>
      </c>
      <c r="G169" s="73">
        <v>49000</v>
      </c>
      <c r="H169" s="73">
        <v>27000</v>
      </c>
      <c r="I169" s="73">
        <v>22087</v>
      </c>
      <c r="J169" s="74">
        <f t="shared" si="5"/>
        <v>0.54924489795918374</v>
      </c>
    </row>
    <row r="170" spans="2:10" x14ac:dyDescent="0.3">
      <c r="B170" s="107">
        <v>57</v>
      </c>
      <c r="C170" s="47" t="s">
        <v>459</v>
      </c>
      <c r="D170" s="31" t="s">
        <v>185</v>
      </c>
      <c r="E170" s="31">
        <v>20</v>
      </c>
      <c r="F170" s="31" t="s">
        <v>344</v>
      </c>
      <c r="G170" s="38">
        <v>49000</v>
      </c>
      <c r="H170" s="38">
        <v>27000</v>
      </c>
      <c r="I170" s="38">
        <v>22087</v>
      </c>
      <c r="J170" s="54">
        <f t="shared" si="5"/>
        <v>0.54924489795918374</v>
      </c>
    </row>
    <row r="171" spans="2:10" x14ac:dyDescent="0.3">
      <c r="B171" s="95">
        <v>58</v>
      </c>
      <c r="C171" s="71" t="s">
        <v>460</v>
      </c>
      <c r="D171" s="72" t="s">
        <v>345</v>
      </c>
      <c r="E171" s="72">
        <v>14</v>
      </c>
      <c r="F171" s="72" t="s">
        <v>346</v>
      </c>
      <c r="G171" s="73">
        <v>52000</v>
      </c>
      <c r="H171" s="73">
        <v>27000</v>
      </c>
      <c r="I171" s="73">
        <v>22087</v>
      </c>
      <c r="J171" s="74">
        <f t="shared" si="5"/>
        <v>0.57525000000000004</v>
      </c>
    </row>
    <row r="172" spans="2:10" x14ac:dyDescent="0.3">
      <c r="B172" s="107">
        <v>58</v>
      </c>
      <c r="C172" s="47" t="s">
        <v>460</v>
      </c>
      <c r="D172" s="31" t="s">
        <v>347</v>
      </c>
      <c r="E172" s="31">
        <v>11</v>
      </c>
      <c r="F172" s="31" t="s">
        <v>346</v>
      </c>
      <c r="G172" s="38">
        <v>52000</v>
      </c>
      <c r="H172" s="38">
        <v>27000</v>
      </c>
      <c r="I172" s="38">
        <v>22087</v>
      </c>
      <c r="J172" s="54">
        <f t="shared" si="5"/>
        <v>0.57525000000000004</v>
      </c>
    </row>
    <row r="173" spans="2:10" x14ac:dyDescent="0.3">
      <c r="B173" s="95">
        <v>59</v>
      </c>
      <c r="C173" s="71" t="s">
        <v>461</v>
      </c>
      <c r="D173" s="72" t="s">
        <v>197</v>
      </c>
      <c r="E173" s="72">
        <v>52</v>
      </c>
      <c r="F173" s="72" t="s">
        <v>348</v>
      </c>
      <c r="G173" s="73">
        <v>55000</v>
      </c>
      <c r="H173" s="73">
        <v>30000</v>
      </c>
      <c r="I173" s="73">
        <v>24738</v>
      </c>
      <c r="J173" s="74">
        <f t="shared" si="5"/>
        <v>0.55021818181818183</v>
      </c>
    </row>
    <row r="174" spans="2:10" x14ac:dyDescent="0.3">
      <c r="B174" s="107">
        <v>59</v>
      </c>
      <c r="C174" s="47" t="s">
        <v>461</v>
      </c>
      <c r="D174" s="31" t="s">
        <v>198</v>
      </c>
      <c r="E174" s="31">
        <v>25</v>
      </c>
      <c r="F174" s="31" t="s">
        <v>348</v>
      </c>
      <c r="G174" s="38">
        <v>55000</v>
      </c>
      <c r="H174" s="38">
        <v>30000</v>
      </c>
      <c r="I174" s="38">
        <v>24738</v>
      </c>
      <c r="J174" s="54">
        <f t="shared" si="5"/>
        <v>0.55021818181818183</v>
      </c>
    </row>
    <row r="175" spans="2:10" x14ac:dyDescent="0.3">
      <c r="B175" s="95">
        <v>60</v>
      </c>
      <c r="C175" s="45" t="s">
        <v>462</v>
      </c>
      <c r="D175" s="25" t="s">
        <v>89</v>
      </c>
      <c r="E175" s="25">
        <v>44</v>
      </c>
      <c r="F175" s="25" t="s">
        <v>349</v>
      </c>
      <c r="G175" s="36">
        <v>59000</v>
      </c>
      <c r="H175" s="36">
        <v>32000</v>
      </c>
      <c r="I175" s="36">
        <v>26505</v>
      </c>
      <c r="J175" s="52">
        <f t="shared" si="5"/>
        <v>0.55076271186440673</v>
      </c>
    </row>
    <row r="176" spans="2:10" x14ac:dyDescent="0.3">
      <c r="B176" s="106">
        <v>60</v>
      </c>
      <c r="C176" s="59" t="s">
        <v>462</v>
      </c>
      <c r="D176" s="60" t="s">
        <v>90</v>
      </c>
      <c r="E176" s="60">
        <v>161</v>
      </c>
      <c r="F176" s="60" t="s">
        <v>349</v>
      </c>
      <c r="G176" s="61">
        <v>59000</v>
      </c>
      <c r="H176" s="61">
        <v>32000</v>
      </c>
      <c r="I176" s="61">
        <v>26505</v>
      </c>
      <c r="J176" s="62">
        <f t="shared" si="5"/>
        <v>0.55076271186440673</v>
      </c>
    </row>
    <row r="177" spans="2:10" x14ac:dyDescent="0.3">
      <c r="B177" s="107">
        <v>60</v>
      </c>
      <c r="C177" s="47" t="s">
        <v>462</v>
      </c>
      <c r="D177" s="31" t="s">
        <v>91</v>
      </c>
      <c r="E177" s="31">
        <v>11</v>
      </c>
      <c r="F177" s="31" t="s">
        <v>349</v>
      </c>
      <c r="G177" s="38">
        <v>59000</v>
      </c>
      <c r="H177" s="38">
        <v>32000</v>
      </c>
      <c r="I177" s="38">
        <v>26505</v>
      </c>
      <c r="J177" s="54">
        <f t="shared" si="5"/>
        <v>0.55076271186440673</v>
      </c>
    </row>
    <row r="178" spans="2:10" x14ac:dyDescent="0.3">
      <c r="B178" s="95">
        <v>61</v>
      </c>
      <c r="C178" s="45" t="s">
        <v>463</v>
      </c>
      <c r="D178" s="25" t="s">
        <v>186</v>
      </c>
      <c r="E178" s="25">
        <v>14</v>
      </c>
      <c r="F178" s="25" t="s">
        <v>350</v>
      </c>
      <c r="G178" s="36">
        <v>69000</v>
      </c>
      <c r="H178" s="36">
        <v>37000</v>
      </c>
      <c r="I178" s="36">
        <v>30922</v>
      </c>
      <c r="J178" s="52">
        <f t="shared" si="5"/>
        <v>0.55185507246376808</v>
      </c>
    </row>
    <row r="179" spans="2:10" x14ac:dyDescent="0.3">
      <c r="B179" s="107">
        <v>61</v>
      </c>
      <c r="C179" s="67" t="s">
        <v>463</v>
      </c>
      <c r="D179" s="68" t="s">
        <v>187</v>
      </c>
      <c r="E179" s="68">
        <v>135</v>
      </c>
      <c r="F179" s="68" t="s">
        <v>350</v>
      </c>
      <c r="G179" s="69">
        <v>69000</v>
      </c>
      <c r="H179" s="69">
        <v>37000</v>
      </c>
      <c r="I179" s="69">
        <v>30922</v>
      </c>
      <c r="J179" s="70">
        <f t="shared" si="5"/>
        <v>0.55185507246376808</v>
      </c>
    </row>
    <row r="180" spans="2:10" x14ac:dyDescent="0.3">
      <c r="B180" s="95">
        <v>62</v>
      </c>
      <c r="C180" s="45" t="s">
        <v>464</v>
      </c>
      <c r="D180" s="25" t="s">
        <v>199</v>
      </c>
      <c r="E180" s="25">
        <v>32</v>
      </c>
      <c r="F180" s="25" t="s">
        <v>351</v>
      </c>
      <c r="G180" s="36">
        <v>69000</v>
      </c>
      <c r="H180" s="36">
        <v>37000</v>
      </c>
      <c r="I180" s="36">
        <v>30922</v>
      </c>
      <c r="J180" s="52">
        <f t="shared" si="5"/>
        <v>0.55185507246376808</v>
      </c>
    </row>
    <row r="181" spans="2:10" x14ac:dyDescent="0.3">
      <c r="B181" s="107">
        <v>62</v>
      </c>
      <c r="C181" s="67" t="s">
        <v>464</v>
      </c>
      <c r="D181" s="68" t="s">
        <v>200</v>
      </c>
      <c r="E181" s="68">
        <v>55</v>
      </c>
      <c r="F181" s="68" t="s">
        <v>351</v>
      </c>
      <c r="G181" s="69">
        <v>69000</v>
      </c>
      <c r="H181" s="69">
        <v>37000</v>
      </c>
      <c r="I181" s="69">
        <v>30922</v>
      </c>
      <c r="J181" s="70">
        <f t="shared" si="5"/>
        <v>0.55185507246376808</v>
      </c>
    </row>
    <row r="182" spans="2:10" x14ac:dyDescent="0.3">
      <c r="B182" s="95">
        <v>63</v>
      </c>
      <c r="C182" s="71" t="s">
        <v>465</v>
      </c>
      <c r="D182" s="72" t="s">
        <v>352</v>
      </c>
      <c r="E182" s="72">
        <v>165</v>
      </c>
      <c r="F182" s="72" t="s">
        <v>353</v>
      </c>
      <c r="G182" s="73">
        <v>79000</v>
      </c>
      <c r="H182" s="73">
        <v>36000</v>
      </c>
      <c r="I182" s="73">
        <v>30039</v>
      </c>
      <c r="J182" s="74">
        <f t="shared" si="5"/>
        <v>0.61975949367088612</v>
      </c>
    </row>
    <row r="183" spans="2:10" x14ac:dyDescent="0.3">
      <c r="B183" s="106">
        <v>63</v>
      </c>
      <c r="C183" s="46" t="s">
        <v>465</v>
      </c>
      <c r="D183" s="30" t="s">
        <v>354</v>
      </c>
      <c r="E183" s="30">
        <v>77</v>
      </c>
      <c r="F183" s="30" t="s">
        <v>353</v>
      </c>
      <c r="G183" s="37">
        <v>79000</v>
      </c>
      <c r="H183" s="37">
        <v>36000</v>
      </c>
      <c r="I183" s="37">
        <v>30039</v>
      </c>
      <c r="J183" s="53">
        <f t="shared" si="5"/>
        <v>0.61975949367088612</v>
      </c>
    </row>
    <row r="184" spans="2:10" x14ac:dyDescent="0.3">
      <c r="B184" s="107">
        <v>63</v>
      </c>
      <c r="C184" s="47" t="s">
        <v>465</v>
      </c>
      <c r="D184" s="31" t="s">
        <v>355</v>
      </c>
      <c r="E184" s="31">
        <v>161</v>
      </c>
      <c r="F184" s="31" t="s">
        <v>353</v>
      </c>
      <c r="G184" s="38">
        <v>79000</v>
      </c>
      <c r="H184" s="38">
        <v>36000</v>
      </c>
      <c r="I184" s="38">
        <v>30039</v>
      </c>
      <c r="J184" s="54">
        <f t="shared" si="5"/>
        <v>0.61975949367088612</v>
      </c>
    </row>
    <row r="185" spans="2:10" x14ac:dyDescent="0.3">
      <c r="B185" s="95">
        <v>64</v>
      </c>
      <c r="C185" s="71" t="s">
        <v>466</v>
      </c>
      <c r="D185" s="72" t="s">
        <v>356</v>
      </c>
      <c r="E185" s="72">
        <v>47</v>
      </c>
      <c r="F185" s="72" t="s">
        <v>357</v>
      </c>
      <c r="G185" s="73">
        <v>49000</v>
      </c>
      <c r="H185" s="73">
        <v>22000</v>
      </c>
      <c r="I185" s="73">
        <v>17670</v>
      </c>
      <c r="J185" s="74">
        <f t="shared" si="5"/>
        <v>0.63938775510204082</v>
      </c>
    </row>
    <row r="186" spans="2:10" x14ac:dyDescent="0.3">
      <c r="B186" s="106">
        <v>64</v>
      </c>
      <c r="C186" s="46" t="s">
        <v>466</v>
      </c>
      <c r="D186" s="30" t="s">
        <v>358</v>
      </c>
      <c r="E186" s="30">
        <v>16</v>
      </c>
      <c r="F186" s="30" t="s">
        <v>357</v>
      </c>
      <c r="G186" s="37">
        <v>49000</v>
      </c>
      <c r="H186" s="37">
        <v>22000</v>
      </c>
      <c r="I186" s="37">
        <v>17670</v>
      </c>
      <c r="J186" s="53">
        <f t="shared" si="5"/>
        <v>0.63938775510204082</v>
      </c>
    </row>
    <row r="187" spans="2:10" x14ac:dyDescent="0.3">
      <c r="B187" s="107">
        <v>64</v>
      </c>
      <c r="C187" s="47" t="s">
        <v>466</v>
      </c>
      <c r="D187" s="31" t="s">
        <v>359</v>
      </c>
      <c r="E187" s="31">
        <v>33</v>
      </c>
      <c r="F187" s="31" t="s">
        <v>357</v>
      </c>
      <c r="G187" s="38">
        <v>49000</v>
      </c>
      <c r="H187" s="38">
        <v>22000</v>
      </c>
      <c r="I187" s="38">
        <v>17670</v>
      </c>
      <c r="J187" s="54">
        <f t="shared" si="5"/>
        <v>0.63938775510204082</v>
      </c>
    </row>
    <row r="188" spans="2:10" x14ac:dyDescent="0.3">
      <c r="B188" s="95">
        <v>65</v>
      </c>
      <c r="C188" s="71" t="s">
        <v>467</v>
      </c>
      <c r="D188" s="72" t="s">
        <v>33</v>
      </c>
      <c r="E188" s="72">
        <v>179</v>
      </c>
      <c r="F188" s="72" t="s">
        <v>353</v>
      </c>
      <c r="G188" s="73">
        <v>79000</v>
      </c>
      <c r="H188" s="73">
        <v>41000</v>
      </c>
      <c r="I188" s="73">
        <v>34456</v>
      </c>
      <c r="J188" s="74">
        <f t="shared" si="5"/>
        <v>0.56384810126582274</v>
      </c>
    </row>
    <row r="189" spans="2:10" x14ac:dyDescent="0.3">
      <c r="B189" s="106">
        <v>65</v>
      </c>
      <c r="C189" s="46" t="s">
        <v>467</v>
      </c>
      <c r="D189" s="30" t="s">
        <v>34</v>
      </c>
      <c r="E189" s="30">
        <v>167</v>
      </c>
      <c r="F189" s="30" t="s">
        <v>353</v>
      </c>
      <c r="G189" s="37">
        <v>79000</v>
      </c>
      <c r="H189" s="37">
        <v>41000</v>
      </c>
      <c r="I189" s="37">
        <v>34456</v>
      </c>
      <c r="J189" s="53">
        <f t="shared" si="5"/>
        <v>0.56384810126582274</v>
      </c>
    </row>
    <row r="190" spans="2:10" x14ac:dyDescent="0.3">
      <c r="B190" s="107">
        <v>65</v>
      </c>
      <c r="C190" s="47" t="s">
        <v>467</v>
      </c>
      <c r="D190" s="31" t="s">
        <v>35</v>
      </c>
      <c r="E190" s="31">
        <v>159</v>
      </c>
      <c r="F190" s="31" t="s">
        <v>353</v>
      </c>
      <c r="G190" s="38">
        <v>79000</v>
      </c>
      <c r="H190" s="38">
        <v>41000</v>
      </c>
      <c r="I190" s="38">
        <v>34456</v>
      </c>
      <c r="J190" s="54">
        <f t="shared" si="5"/>
        <v>0.56384810126582274</v>
      </c>
    </row>
    <row r="191" spans="2:10" x14ac:dyDescent="0.3">
      <c r="B191" s="95">
        <v>66</v>
      </c>
      <c r="C191" s="71" t="s">
        <v>468</v>
      </c>
      <c r="D191" s="72" t="s">
        <v>36</v>
      </c>
      <c r="E191" s="72">
        <v>128</v>
      </c>
      <c r="F191" s="72" t="s">
        <v>357</v>
      </c>
      <c r="G191" s="73">
        <v>49000</v>
      </c>
      <c r="H191" s="73">
        <v>24000</v>
      </c>
      <c r="I191" s="73">
        <v>19437</v>
      </c>
      <c r="J191" s="74">
        <f t="shared" si="5"/>
        <v>0.60332653061224484</v>
      </c>
    </row>
    <row r="192" spans="2:10" x14ac:dyDescent="0.3">
      <c r="B192" s="106">
        <v>66</v>
      </c>
      <c r="C192" s="46" t="s">
        <v>468</v>
      </c>
      <c r="D192" s="30" t="s">
        <v>37</v>
      </c>
      <c r="E192" s="30">
        <v>125</v>
      </c>
      <c r="F192" s="30" t="s">
        <v>357</v>
      </c>
      <c r="G192" s="37">
        <v>49000</v>
      </c>
      <c r="H192" s="37">
        <v>24000</v>
      </c>
      <c r="I192" s="37">
        <v>19437</v>
      </c>
      <c r="J192" s="53">
        <f t="shared" si="5"/>
        <v>0.60332653061224484</v>
      </c>
    </row>
    <row r="193" spans="2:10" x14ac:dyDescent="0.3">
      <c r="B193" s="107">
        <v>66</v>
      </c>
      <c r="C193" s="47" t="s">
        <v>468</v>
      </c>
      <c r="D193" s="31" t="s">
        <v>38</v>
      </c>
      <c r="E193" s="31">
        <v>121</v>
      </c>
      <c r="F193" s="31" t="s">
        <v>357</v>
      </c>
      <c r="G193" s="38">
        <v>49000</v>
      </c>
      <c r="H193" s="38">
        <v>24000</v>
      </c>
      <c r="I193" s="38">
        <v>19437</v>
      </c>
      <c r="J193" s="54">
        <f t="shared" si="5"/>
        <v>0.60332653061224484</v>
      </c>
    </row>
    <row r="194" spans="2:10" x14ac:dyDescent="0.3">
      <c r="B194" s="95">
        <v>67</v>
      </c>
      <c r="C194" s="45" t="s">
        <v>469</v>
      </c>
      <c r="D194" s="25" t="s">
        <v>201</v>
      </c>
      <c r="E194" s="25">
        <v>93</v>
      </c>
      <c r="F194" s="25" t="s">
        <v>360</v>
      </c>
      <c r="G194" s="36">
        <v>52000</v>
      </c>
      <c r="H194" s="36">
        <v>18000</v>
      </c>
      <c r="I194" s="36"/>
      <c r="J194" s="52">
        <f t="shared" ref="J194:J195" si="6">1-H194/G194</f>
        <v>0.65384615384615385</v>
      </c>
    </row>
    <row r="195" spans="2:10" x14ac:dyDescent="0.3">
      <c r="B195" s="107">
        <v>67</v>
      </c>
      <c r="C195" s="67" t="s">
        <v>469</v>
      </c>
      <c r="D195" s="68" t="s">
        <v>203</v>
      </c>
      <c r="E195" s="68">
        <v>94</v>
      </c>
      <c r="F195" s="68" t="s">
        <v>360</v>
      </c>
      <c r="G195" s="69">
        <v>52000</v>
      </c>
      <c r="H195" s="69">
        <v>18000</v>
      </c>
      <c r="I195" s="69"/>
      <c r="J195" s="70">
        <f t="shared" si="6"/>
        <v>0.65384615384615385</v>
      </c>
    </row>
    <row r="196" spans="2:10" x14ac:dyDescent="0.3">
      <c r="B196" s="95">
        <v>68</v>
      </c>
      <c r="C196" s="71" t="s">
        <v>470</v>
      </c>
      <c r="D196" s="72" t="s">
        <v>501</v>
      </c>
      <c r="E196" s="72">
        <v>813</v>
      </c>
      <c r="F196" s="72" t="s">
        <v>361</v>
      </c>
      <c r="G196" s="73">
        <v>79000</v>
      </c>
      <c r="H196" s="73">
        <v>31000</v>
      </c>
      <c r="I196" s="73">
        <v>25621</v>
      </c>
      <c r="J196" s="74">
        <f t="shared" ref="J196:J228" si="7">1-I196/G196</f>
        <v>0.6756835443037974</v>
      </c>
    </row>
    <row r="197" spans="2:10" x14ac:dyDescent="0.3">
      <c r="B197" s="106">
        <v>68</v>
      </c>
      <c r="C197" s="46" t="s">
        <v>470</v>
      </c>
      <c r="D197" s="30" t="s">
        <v>502</v>
      </c>
      <c r="E197" s="30">
        <v>460</v>
      </c>
      <c r="F197" s="30" t="s">
        <v>361</v>
      </c>
      <c r="G197" s="37">
        <v>79000</v>
      </c>
      <c r="H197" s="37">
        <v>31000</v>
      </c>
      <c r="I197" s="37">
        <v>25621</v>
      </c>
      <c r="J197" s="53">
        <f t="shared" si="7"/>
        <v>0.6756835443037974</v>
      </c>
    </row>
    <row r="198" spans="2:10" x14ac:dyDescent="0.3">
      <c r="B198" s="108">
        <v>69</v>
      </c>
      <c r="C198" s="75" t="s">
        <v>471</v>
      </c>
      <c r="D198" s="76" t="s">
        <v>362</v>
      </c>
      <c r="E198" s="76">
        <v>120</v>
      </c>
      <c r="F198" s="76" t="s">
        <v>363</v>
      </c>
      <c r="G198" s="77">
        <v>59000</v>
      </c>
      <c r="H198" s="77">
        <v>31000</v>
      </c>
      <c r="I198" s="77">
        <v>25621</v>
      </c>
      <c r="J198" s="78">
        <f t="shared" si="7"/>
        <v>0.56574576271186439</v>
      </c>
    </row>
    <row r="199" spans="2:10" x14ac:dyDescent="0.3">
      <c r="B199" s="108">
        <v>70</v>
      </c>
      <c r="C199" s="75" t="s">
        <v>472</v>
      </c>
      <c r="D199" s="76" t="s">
        <v>364</v>
      </c>
      <c r="E199" s="76">
        <v>66</v>
      </c>
      <c r="F199" s="76" t="s">
        <v>365</v>
      </c>
      <c r="G199" s="77">
        <v>89000</v>
      </c>
      <c r="H199" s="77">
        <v>46000</v>
      </c>
      <c r="I199" s="77">
        <v>39060</v>
      </c>
      <c r="J199" s="78">
        <f t="shared" si="7"/>
        <v>0.56112359550561797</v>
      </c>
    </row>
    <row r="200" spans="2:10" x14ac:dyDescent="0.3">
      <c r="B200" s="95">
        <v>71</v>
      </c>
      <c r="C200" s="45" t="s">
        <v>473</v>
      </c>
      <c r="D200" s="25" t="s">
        <v>366</v>
      </c>
      <c r="E200" s="25">
        <v>76</v>
      </c>
      <c r="F200" s="25" t="s">
        <v>367</v>
      </c>
      <c r="G200" s="36">
        <v>45000</v>
      </c>
      <c r="H200" s="36">
        <v>20000</v>
      </c>
      <c r="I200" s="36">
        <v>15903</v>
      </c>
      <c r="J200" s="52">
        <f t="shared" si="7"/>
        <v>0.64660000000000006</v>
      </c>
    </row>
    <row r="201" spans="2:10" x14ac:dyDescent="0.3">
      <c r="B201" s="106">
        <v>71</v>
      </c>
      <c r="C201" s="46" t="s">
        <v>473</v>
      </c>
      <c r="D201" s="30" t="s">
        <v>368</v>
      </c>
      <c r="E201" s="30">
        <v>84</v>
      </c>
      <c r="F201" s="30" t="s">
        <v>367</v>
      </c>
      <c r="G201" s="37">
        <v>45000</v>
      </c>
      <c r="H201" s="37">
        <v>20000</v>
      </c>
      <c r="I201" s="37">
        <v>15903</v>
      </c>
      <c r="J201" s="53">
        <f t="shared" si="7"/>
        <v>0.64660000000000006</v>
      </c>
    </row>
    <row r="202" spans="2:10" x14ac:dyDescent="0.3">
      <c r="B202" s="107">
        <v>71</v>
      </c>
      <c r="C202" s="67" t="s">
        <v>473</v>
      </c>
      <c r="D202" s="68" t="s">
        <v>369</v>
      </c>
      <c r="E202" s="68">
        <v>89</v>
      </c>
      <c r="F202" s="68" t="s">
        <v>367</v>
      </c>
      <c r="G202" s="69">
        <v>45000</v>
      </c>
      <c r="H202" s="69">
        <v>20000</v>
      </c>
      <c r="I202" s="69">
        <v>15903</v>
      </c>
      <c r="J202" s="70">
        <f t="shared" si="7"/>
        <v>0.64660000000000006</v>
      </c>
    </row>
    <row r="203" spans="2:10" x14ac:dyDescent="0.3">
      <c r="B203" s="95">
        <v>72</v>
      </c>
      <c r="C203" s="71" t="s">
        <v>474</v>
      </c>
      <c r="D203" s="72" t="s">
        <v>245</v>
      </c>
      <c r="E203" s="72">
        <v>79</v>
      </c>
      <c r="F203" s="72" t="s">
        <v>370</v>
      </c>
      <c r="G203" s="73">
        <v>52000</v>
      </c>
      <c r="H203" s="73">
        <v>27000</v>
      </c>
      <c r="I203" s="73">
        <v>22087</v>
      </c>
      <c r="J203" s="74">
        <f t="shared" si="7"/>
        <v>0.57525000000000004</v>
      </c>
    </row>
    <row r="204" spans="2:10" x14ac:dyDescent="0.3">
      <c r="B204" s="113">
        <v>72</v>
      </c>
      <c r="C204" s="91" t="s">
        <v>474</v>
      </c>
      <c r="D204" s="92" t="s">
        <v>246</v>
      </c>
      <c r="E204" s="92">
        <v>59</v>
      </c>
      <c r="F204" s="92" t="s">
        <v>370</v>
      </c>
      <c r="G204" s="93">
        <v>52000</v>
      </c>
      <c r="H204" s="93">
        <v>27000</v>
      </c>
      <c r="I204" s="93">
        <v>22087</v>
      </c>
      <c r="J204" s="94">
        <f t="shared" si="7"/>
        <v>0.57525000000000004</v>
      </c>
    </row>
    <row r="205" spans="2:10" x14ac:dyDescent="0.3">
      <c r="B205" s="114">
        <v>73</v>
      </c>
      <c r="C205" s="45" t="s">
        <v>475</v>
      </c>
      <c r="D205" s="25" t="s">
        <v>247</v>
      </c>
      <c r="E205" s="25">
        <v>15</v>
      </c>
      <c r="F205" s="25" t="s">
        <v>371</v>
      </c>
      <c r="G205" s="36">
        <v>52000</v>
      </c>
      <c r="H205" s="36">
        <v>27000</v>
      </c>
      <c r="I205" s="36">
        <v>22087</v>
      </c>
      <c r="J205" s="52">
        <f t="shared" si="7"/>
        <v>0.57525000000000004</v>
      </c>
    </row>
    <row r="206" spans="2:10" x14ac:dyDescent="0.3">
      <c r="B206" s="107">
        <v>73</v>
      </c>
      <c r="C206" s="67" t="s">
        <v>475</v>
      </c>
      <c r="D206" s="68" t="s">
        <v>248</v>
      </c>
      <c r="E206" s="68">
        <v>51</v>
      </c>
      <c r="F206" s="68" t="s">
        <v>371</v>
      </c>
      <c r="G206" s="69">
        <v>52000</v>
      </c>
      <c r="H206" s="69">
        <v>27000</v>
      </c>
      <c r="I206" s="69">
        <v>22087</v>
      </c>
      <c r="J206" s="70">
        <f t="shared" si="7"/>
        <v>0.57525000000000004</v>
      </c>
    </row>
    <row r="207" spans="2:10" x14ac:dyDescent="0.3">
      <c r="B207" s="108">
        <v>74</v>
      </c>
      <c r="C207" s="75" t="s">
        <v>476</v>
      </c>
      <c r="D207" s="76" t="s">
        <v>372</v>
      </c>
      <c r="E207" s="76">
        <v>100</v>
      </c>
      <c r="F207" s="76" t="s">
        <v>373</v>
      </c>
      <c r="G207" s="77">
        <v>52000</v>
      </c>
      <c r="H207" s="77">
        <v>23000</v>
      </c>
      <c r="I207" s="77">
        <v>18553</v>
      </c>
      <c r="J207" s="78">
        <f t="shared" si="7"/>
        <v>0.64321153846153845</v>
      </c>
    </row>
    <row r="208" spans="2:10" x14ac:dyDescent="0.3">
      <c r="B208" s="95">
        <v>75</v>
      </c>
      <c r="C208" s="71" t="s">
        <v>477</v>
      </c>
      <c r="D208" s="72" t="s">
        <v>249</v>
      </c>
      <c r="E208" s="72">
        <v>94</v>
      </c>
      <c r="F208" s="72" t="s">
        <v>374</v>
      </c>
      <c r="G208" s="73">
        <v>52000</v>
      </c>
      <c r="H208" s="73">
        <v>27000</v>
      </c>
      <c r="I208" s="73">
        <v>22087</v>
      </c>
      <c r="J208" s="74">
        <f t="shared" si="7"/>
        <v>0.57525000000000004</v>
      </c>
    </row>
    <row r="209" spans="2:10" x14ac:dyDescent="0.3">
      <c r="B209" s="106">
        <v>75</v>
      </c>
      <c r="C209" s="46" t="s">
        <v>477</v>
      </c>
      <c r="D209" s="30" t="s">
        <v>250</v>
      </c>
      <c r="E209" s="30">
        <v>38</v>
      </c>
      <c r="F209" s="30" t="s">
        <v>374</v>
      </c>
      <c r="G209" s="37">
        <v>52000</v>
      </c>
      <c r="H209" s="37">
        <v>27000</v>
      </c>
      <c r="I209" s="37">
        <v>22087</v>
      </c>
      <c r="J209" s="53">
        <f t="shared" si="7"/>
        <v>0.57525000000000004</v>
      </c>
    </row>
    <row r="210" spans="2:10" x14ac:dyDescent="0.3">
      <c r="B210" s="107">
        <v>75</v>
      </c>
      <c r="C210" s="47" t="s">
        <v>477</v>
      </c>
      <c r="D210" s="31" t="s">
        <v>251</v>
      </c>
      <c r="E210" s="31">
        <v>27</v>
      </c>
      <c r="F210" s="31" t="s">
        <v>374</v>
      </c>
      <c r="G210" s="38">
        <v>52000</v>
      </c>
      <c r="H210" s="38">
        <v>27000</v>
      </c>
      <c r="I210" s="38">
        <v>22087</v>
      </c>
      <c r="J210" s="54">
        <f t="shared" si="7"/>
        <v>0.57525000000000004</v>
      </c>
    </row>
    <row r="211" spans="2:10" x14ac:dyDescent="0.3">
      <c r="B211" s="108">
        <v>76</v>
      </c>
      <c r="C211" s="75" t="s">
        <v>478</v>
      </c>
      <c r="D211" s="76" t="s">
        <v>375</v>
      </c>
      <c r="E211" s="76">
        <v>37</v>
      </c>
      <c r="F211" s="76" t="s">
        <v>376</v>
      </c>
      <c r="G211" s="77">
        <v>65000</v>
      </c>
      <c r="H211" s="77">
        <v>29000</v>
      </c>
      <c r="I211" s="77">
        <v>23854</v>
      </c>
      <c r="J211" s="78">
        <f t="shared" si="7"/>
        <v>0.63301538461538454</v>
      </c>
    </row>
    <row r="212" spans="2:10" x14ac:dyDescent="0.3">
      <c r="B212" s="108">
        <v>77</v>
      </c>
      <c r="C212" s="75" t="s">
        <v>479</v>
      </c>
      <c r="D212" s="76" t="s">
        <v>252</v>
      </c>
      <c r="E212" s="76">
        <v>110</v>
      </c>
      <c r="F212" s="76" t="s">
        <v>377</v>
      </c>
      <c r="G212" s="77">
        <v>65000</v>
      </c>
      <c r="H212" s="77">
        <v>33000</v>
      </c>
      <c r="I212" s="77">
        <v>27388</v>
      </c>
      <c r="J212" s="78">
        <f t="shared" si="7"/>
        <v>0.57864615384615381</v>
      </c>
    </row>
    <row r="213" spans="2:10" x14ac:dyDescent="0.3">
      <c r="B213" s="95">
        <v>78</v>
      </c>
      <c r="C213" s="45" t="s">
        <v>480</v>
      </c>
      <c r="D213" s="25" t="s">
        <v>503</v>
      </c>
      <c r="E213" s="25">
        <v>40</v>
      </c>
      <c r="F213" s="25" t="s">
        <v>378</v>
      </c>
      <c r="G213" s="36">
        <v>99000</v>
      </c>
      <c r="H213" s="36">
        <v>39000</v>
      </c>
      <c r="I213" s="36">
        <v>32689</v>
      </c>
      <c r="J213" s="52">
        <f t="shared" si="7"/>
        <v>0.66980808080808085</v>
      </c>
    </row>
    <row r="214" spans="2:10" x14ac:dyDescent="0.3">
      <c r="B214" s="106">
        <v>78</v>
      </c>
      <c r="C214" s="59" t="s">
        <v>480</v>
      </c>
      <c r="D214" s="60" t="s">
        <v>504</v>
      </c>
      <c r="E214" s="60">
        <v>179</v>
      </c>
      <c r="F214" s="60" t="s">
        <v>378</v>
      </c>
      <c r="G214" s="61">
        <v>99000</v>
      </c>
      <c r="H214" s="61">
        <v>39000</v>
      </c>
      <c r="I214" s="61">
        <v>32689</v>
      </c>
      <c r="J214" s="62">
        <f t="shared" si="7"/>
        <v>0.66980808080808085</v>
      </c>
    </row>
    <row r="215" spans="2:10" x14ac:dyDescent="0.3">
      <c r="B215" s="107">
        <v>78</v>
      </c>
      <c r="C215" s="47" t="s">
        <v>480</v>
      </c>
      <c r="D215" s="31" t="s">
        <v>505</v>
      </c>
      <c r="E215" s="31">
        <v>14</v>
      </c>
      <c r="F215" s="31" t="s">
        <v>378</v>
      </c>
      <c r="G215" s="38">
        <v>99000</v>
      </c>
      <c r="H215" s="38">
        <v>39000</v>
      </c>
      <c r="I215" s="38">
        <v>32689</v>
      </c>
      <c r="J215" s="54">
        <f t="shared" si="7"/>
        <v>0.66980808080808085</v>
      </c>
    </row>
    <row r="216" spans="2:10" x14ac:dyDescent="0.3">
      <c r="B216" s="95">
        <v>79</v>
      </c>
      <c r="C216" s="45" t="s">
        <v>481</v>
      </c>
      <c r="D216" s="25" t="s">
        <v>31</v>
      </c>
      <c r="E216" s="25">
        <v>92</v>
      </c>
      <c r="F216" s="25" t="s">
        <v>379</v>
      </c>
      <c r="G216" s="36">
        <v>109000</v>
      </c>
      <c r="H216" s="36">
        <v>57000</v>
      </c>
      <c r="I216" s="36">
        <v>48592</v>
      </c>
      <c r="J216" s="52">
        <f t="shared" si="7"/>
        <v>0.55420183486238539</v>
      </c>
    </row>
    <row r="217" spans="2:10" x14ac:dyDescent="0.3">
      <c r="B217" s="107">
        <v>79</v>
      </c>
      <c r="C217" s="67" t="s">
        <v>481</v>
      </c>
      <c r="D217" s="68" t="s">
        <v>32</v>
      </c>
      <c r="E217" s="68">
        <v>107</v>
      </c>
      <c r="F217" s="68" t="s">
        <v>379</v>
      </c>
      <c r="G217" s="69">
        <v>109000</v>
      </c>
      <c r="H217" s="69">
        <v>57000</v>
      </c>
      <c r="I217" s="69">
        <v>48592</v>
      </c>
      <c r="J217" s="70">
        <f t="shared" si="7"/>
        <v>0.55420183486238539</v>
      </c>
    </row>
    <row r="218" spans="2:10" x14ac:dyDescent="0.3">
      <c r="B218" s="95">
        <v>80</v>
      </c>
      <c r="C218" s="96" t="s">
        <v>482</v>
      </c>
      <c r="D218" s="95" t="s">
        <v>26</v>
      </c>
      <c r="E218" s="95">
        <v>89</v>
      </c>
      <c r="F218" s="95" t="s">
        <v>380</v>
      </c>
      <c r="G218" s="97">
        <v>42000</v>
      </c>
      <c r="H218" s="97">
        <v>23000</v>
      </c>
      <c r="I218" s="97">
        <v>18553</v>
      </c>
      <c r="J218" s="98">
        <f t="shared" si="7"/>
        <v>0.55826190476190474</v>
      </c>
    </row>
    <row r="219" spans="2:10" x14ac:dyDescent="0.3">
      <c r="B219" s="106">
        <v>80</v>
      </c>
      <c r="C219" s="59" t="s">
        <v>482</v>
      </c>
      <c r="D219" s="60" t="s">
        <v>517</v>
      </c>
      <c r="E219" s="60">
        <v>185</v>
      </c>
      <c r="F219" s="60" t="s">
        <v>380</v>
      </c>
      <c r="G219" s="61">
        <v>42000</v>
      </c>
      <c r="H219" s="61">
        <v>23000</v>
      </c>
      <c r="I219" s="61">
        <v>18553</v>
      </c>
      <c r="J219" s="62">
        <v>0.55826190476190474</v>
      </c>
    </row>
    <row r="220" spans="2:10" x14ac:dyDescent="0.3">
      <c r="B220" s="105">
        <v>80</v>
      </c>
      <c r="C220" s="49" t="s">
        <v>482</v>
      </c>
      <c r="D220" s="32" t="s">
        <v>27</v>
      </c>
      <c r="E220" s="32">
        <v>24</v>
      </c>
      <c r="F220" s="32" t="s">
        <v>380</v>
      </c>
      <c r="G220" s="40">
        <v>42000</v>
      </c>
      <c r="H220" s="40">
        <v>23000</v>
      </c>
      <c r="I220" s="40">
        <v>18553</v>
      </c>
      <c r="J220" s="56">
        <f t="shared" si="7"/>
        <v>0.55826190476190474</v>
      </c>
    </row>
    <row r="221" spans="2:10" x14ac:dyDescent="0.3">
      <c r="B221" s="95">
        <v>81</v>
      </c>
      <c r="C221" s="71" t="s">
        <v>483</v>
      </c>
      <c r="D221" s="72" t="s">
        <v>28</v>
      </c>
      <c r="E221" s="72">
        <v>60</v>
      </c>
      <c r="F221" s="72" t="s">
        <v>381</v>
      </c>
      <c r="G221" s="73">
        <v>42000</v>
      </c>
      <c r="H221" s="73">
        <v>23000</v>
      </c>
      <c r="I221" s="73">
        <v>18553</v>
      </c>
      <c r="J221" s="74">
        <f t="shared" si="7"/>
        <v>0.55826190476190474</v>
      </c>
    </row>
    <row r="222" spans="2:10" x14ac:dyDescent="0.3">
      <c r="B222" s="107">
        <v>81</v>
      </c>
      <c r="C222" s="47" t="s">
        <v>483</v>
      </c>
      <c r="D222" s="31" t="s">
        <v>29</v>
      </c>
      <c r="E222" s="31">
        <v>47</v>
      </c>
      <c r="F222" s="31" t="s">
        <v>381</v>
      </c>
      <c r="G222" s="38">
        <v>42000</v>
      </c>
      <c r="H222" s="38">
        <v>23000</v>
      </c>
      <c r="I222" s="38">
        <v>18553</v>
      </c>
      <c r="J222" s="54">
        <f t="shared" si="7"/>
        <v>0.55826190476190474</v>
      </c>
    </row>
    <row r="223" spans="2:10" x14ac:dyDescent="0.3">
      <c r="B223" s="108">
        <v>82</v>
      </c>
      <c r="C223" s="76" t="s">
        <v>484</v>
      </c>
      <c r="D223" s="76" t="s">
        <v>30</v>
      </c>
      <c r="E223" s="76">
        <v>38</v>
      </c>
      <c r="F223" s="76" t="s">
        <v>382</v>
      </c>
      <c r="G223" s="77">
        <v>42000</v>
      </c>
      <c r="H223" s="77">
        <v>23000</v>
      </c>
      <c r="I223" s="77">
        <v>18553</v>
      </c>
      <c r="J223" s="78">
        <f>1-I223/G223</f>
        <v>0.55826190476190474</v>
      </c>
    </row>
    <row r="224" spans="2:10" x14ac:dyDescent="0.3">
      <c r="B224" s="115">
        <v>83</v>
      </c>
      <c r="C224" s="51" t="s">
        <v>485</v>
      </c>
      <c r="D224" s="27" t="s">
        <v>205</v>
      </c>
      <c r="E224" s="27">
        <v>27</v>
      </c>
      <c r="F224" s="27" t="s">
        <v>383</v>
      </c>
      <c r="G224" s="42">
        <v>45000</v>
      </c>
      <c r="H224" s="42">
        <v>29000</v>
      </c>
      <c r="I224" s="42">
        <v>23854</v>
      </c>
      <c r="J224" s="58">
        <f t="shared" si="7"/>
        <v>0.46991111111111106</v>
      </c>
    </row>
    <row r="225" spans="2:10" x14ac:dyDescent="0.3">
      <c r="B225" s="107">
        <v>83</v>
      </c>
      <c r="C225" s="67" t="s">
        <v>485</v>
      </c>
      <c r="D225" s="68" t="s">
        <v>206</v>
      </c>
      <c r="E225" s="68">
        <v>71</v>
      </c>
      <c r="F225" s="68" t="s">
        <v>383</v>
      </c>
      <c r="G225" s="69">
        <v>45000</v>
      </c>
      <c r="H225" s="69">
        <v>29000</v>
      </c>
      <c r="I225" s="69">
        <v>23854</v>
      </c>
      <c r="J225" s="70">
        <f t="shared" si="7"/>
        <v>0.46991111111111106</v>
      </c>
    </row>
    <row r="226" spans="2:10" x14ac:dyDescent="0.3">
      <c r="B226" s="95">
        <v>84</v>
      </c>
      <c r="C226" s="71" t="s">
        <v>486</v>
      </c>
      <c r="D226" s="72" t="s">
        <v>384</v>
      </c>
      <c r="E226" s="72">
        <v>113</v>
      </c>
      <c r="F226" s="72" t="s">
        <v>385</v>
      </c>
      <c r="G226" s="73">
        <v>45000</v>
      </c>
      <c r="H226" s="73">
        <v>27000</v>
      </c>
      <c r="I226" s="73">
        <v>22087</v>
      </c>
      <c r="J226" s="74">
        <f t="shared" si="7"/>
        <v>0.50917777777777773</v>
      </c>
    </row>
    <row r="227" spans="2:10" x14ac:dyDescent="0.3">
      <c r="B227" s="107">
        <v>84</v>
      </c>
      <c r="C227" s="47" t="s">
        <v>486</v>
      </c>
      <c r="D227" s="31" t="s">
        <v>386</v>
      </c>
      <c r="E227" s="31">
        <v>100</v>
      </c>
      <c r="F227" s="31" t="s">
        <v>385</v>
      </c>
      <c r="G227" s="38">
        <v>45000</v>
      </c>
      <c r="H227" s="38">
        <v>27000</v>
      </c>
      <c r="I227" s="38">
        <v>22087</v>
      </c>
      <c r="J227" s="54">
        <f t="shared" si="7"/>
        <v>0.50917777777777773</v>
      </c>
    </row>
    <row r="228" spans="2:10" x14ac:dyDescent="0.3">
      <c r="B228" s="108">
        <v>85</v>
      </c>
      <c r="C228" s="75" t="s">
        <v>487</v>
      </c>
      <c r="D228" s="76" t="s">
        <v>387</v>
      </c>
      <c r="E228" s="76">
        <v>13</v>
      </c>
      <c r="F228" s="76" t="s">
        <v>388</v>
      </c>
      <c r="G228" s="77">
        <v>35000</v>
      </c>
      <c r="H228" s="77">
        <v>21000</v>
      </c>
      <c r="I228" s="77">
        <v>16786</v>
      </c>
      <c r="J228" s="78">
        <f t="shared" si="7"/>
        <v>0.52039999999999997</v>
      </c>
    </row>
    <row r="229" spans="2:10" x14ac:dyDescent="0.3">
      <c r="B229" s="95">
        <v>86</v>
      </c>
      <c r="C229" s="71" t="s">
        <v>488</v>
      </c>
      <c r="D229" s="72" t="s">
        <v>389</v>
      </c>
      <c r="E229" s="72">
        <v>203</v>
      </c>
      <c r="F229" s="72" t="s">
        <v>390</v>
      </c>
      <c r="G229" s="73">
        <v>6900</v>
      </c>
      <c r="H229" s="73">
        <v>5500</v>
      </c>
      <c r="I229" s="73"/>
      <c r="J229" s="74">
        <f t="shared" ref="J229:J239" si="8">1-H229/G229</f>
        <v>0.20289855072463769</v>
      </c>
    </row>
    <row r="230" spans="2:10" x14ac:dyDescent="0.3">
      <c r="B230" s="106">
        <v>86</v>
      </c>
      <c r="C230" s="46" t="s">
        <v>488</v>
      </c>
      <c r="D230" s="30" t="s">
        <v>391</v>
      </c>
      <c r="E230" s="30">
        <v>54</v>
      </c>
      <c r="F230" s="30" t="s">
        <v>390</v>
      </c>
      <c r="G230" s="37">
        <v>6900</v>
      </c>
      <c r="H230" s="37">
        <v>5500</v>
      </c>
      <c r="I230" s="37"/>
      <c r="J230" s="53">
        <f t="shared" si="8"/>
        <v>0.20289855072463769</v>
      </c>
    </row>
    <row r="231" spans="2:10" x14ac:dyDescent="0.3">
      <c r="B231" s="107">
        <v>86</v>
      </c>
      <c r="C231" s="47" t="s">
        <v>488</v>
      </c>
      <c r="D231" s="31" t="s">
        <v>392</v>
      </c>
      <c r="E231" s="31">
        <v>107</v>
      </c>
      <c r="F231" s="31" t="s">
        <v>390</v>
      </c>
      <c r="G231" s="38">
        <v>6900</v>
      </c>
      <c r="H231" s="38">
        <v>5500</v>
      </c>
      <c r="I231" s="38"/>
      <c r="J231" s="54">
        <f t="shared" si="8"/>
        <v>0.20289855072463769</v>
      </c>
    </row>
    <row r="232" spans="2:10" x14ac:dyDescent="0.3">
      <c r="B232" s="95">
        <v>87</v>
      </c>
      <c r="C232" s="45" t="s">
        <v>489</v>
      </c>
      <c r="D232" s="25" t="s">
        <v>393</v>
      </c>
      <c r="E232" s="25">
        <v>156</v>
      </c>
      <c r="F232" s="25" t="s">
        <v>394</v>
      </c>
      <c r="G232" s="36">
        <v>6900</v>
      </c>
      <c r="H232" s="36">
        <v>5500</v>
      </c>
      <c r="I232" s="36"/>
      <c r="J232" s="52">
        <f t="shared" si="8"/>
        <v>0.20289855072463769</v>
      </c>
    </row>
    <row r="233" spans="2:10" x14ac:dyDescent="0.3">
      <c r="B233" s="107">
        <v>87</v>
      </c>
      <c r="C233" s="67" t="s">
        <v>489</v>
      </c>
      <c r="D233" s="68" t="s">
        <v>395</v>
      </c>
      <c r="E233" s="68">
        <v>196</v>
      </c>
      <c r="F233" s="68" t="s">
        <v>394</v>
      </c>
      <c r="G233" s="69">
        <v>6900</v>
      </c>
      <c r="H233" s="69">
        <v>5500</v>
      </c>
      <c r="I233" s="69"/>
      <c r="J233" s="70">
        <f t="shared" si="8"/>
        <v>0.20289855072463769</v>
      </c>
    </row>
    <row r="234" spans="2:10" x14ac:dyDescent="0.3">
      <c r="B234" s="95">
        <v>88</v>
      </c>
      <c r="C234" s="45" t="s">
        <v>490</v>
      </c>
      <c r="D234" s="25" t="s">
        <v>396</v>
      </c>
      <c r="E234" s="25">
        <v>244</v>
      </c>
      <c r="F234" s="25" t="s">
        <v>390</v>
      </c>
      <c r="G234" s="36">
        <v>6900</v>
      </c>
      <c r="H234" s="36">
        <v>5500</v>
      </c>
      <c r="I234" s="36"/>
      <c r="J234" s="52">
        <f t="shared" si="8"/>
        <v>0.20289855072463769</v>
      </c>
    </row>
    <row r="235" spans="2:10" x14ac:dyDescent="0.3">
      <c r="B235" s="106">
        <v>88</v>
      </c>
      <c r="C235" s="46" t="s">
        <v>490</v>
      </c>
      <c r="D235" s="30" t="s">
        <v>397</v>
      </c>
      <c r="E235" s="30">
        <v>219</v>
      </c>
      <c r="F235" s="30" t="s">
        <v>390</v>
      </c>
      <c r="G235" s="37">
        <v>6900</v>
      </c>
      <c r="H235" s="37">
        <v>5500</v>
      </c>
      <c r="I235" s="37"/>
      <c r="J235" s="53">
        <f t="shared" si="8"/>
        <v>0.20289855072463769</v>
      </c>
    </row>
    <row r="236" spans="2:10" x14ac:dyDescent="0.3">
      <c r="B236" s="107">
        <v>88</v>
      </c>
      <c r="C236" s="67" t="s">
        <v>490</v>
      </c>
      <c r="D236" s="68" t="s">
        <v>398</v>
      </c>
      <c r="E236" s="68">
        <v>317</v>
      </c>
      <c r="F236" s="68" t="s">
        <v>390</v>
      </c>
      <c r="G236" s="69">
        <v>6900</v>
      </c>
      <c r="H236" s="69">
        <v>5500</v>
      </c>
      <c r="I236" s="69"/>
      <c r="J236" s="70">
        <f t="shared" si="8"/>
        <v>0.20289855072463769</v>
      </c>
    </row>
    <row r="237" spans="2:10" x14ac:dyDescent="0.3">
      <c r="B237" s="116">
        <v>89</v>
      </c>
      <c r="C237" s="51" t="s">
        <v>491</v>
      </c>
      <c r="D237" s="27" t="s">
        <v>399</v>
      </c>
      <c r="E237" s="27">
        <v>215</v>
      </c>
      <c r="F237" s="27" t="s">
        <v>400</v>
      </c>
      <c r="G237" s="42">
        <v>6900</v>
      </c>
      <c r="H237" s="42">
        <v>5500</v>
      </c>
      <c r="I237" s="42"/>
      <c r="J237" s="58">
        <f t="shared" si="8"/>
        <v>0.20289855072463769</v>
      </c>
    </row>
    <row r="238" spans="2:10" x14ac:dyDescent="0.3">
      <c r="B238" s="106">
        <v>89</v>
      </c>
      <c r="C238" s="59" t="s">
        <v>491</v>
      </c>
      <c r="D238" s="60" t="s">
        <v>401</v>
      </c>
      <c r="E238" s="60">
        <v>235</v>
      </c>
      <c r="F238" s="60" t="s">
        <v>400</v>
      </c>
      <c r="G238" s="61">
        <v>6900</v>
      </c>
      <c r="H238" s="61">
        <v>5500</v>
      </c>
      <c r="I238" s="61"/>
      <c r="J238" s="62">
        <f t="shared" si="8"/>
        <v>0.20289855072463769</v>
      </c>
    </row>
    <row r="239" spans="2:10" x14ac:dyDescent="0.3">
      <c r="B239" s="107">
        <v>89</v>
      </c>
      <c r="C239" s="47" t="s">
        <v>491</v>
      </c>
      <c r="D239" s="31" t="s">
        <v>402</v>
      </c>
      <c r="E239" s="31">
        <v>185</v>
      </c>
      <c r="F239" s="31" t="s">
        <v>400</v>
      </c>
      <c r="G239" s="38">
        <v>6900</v>
      </c>
      <c r="H239" s="38">
        <v>5500</v>
      </c>
      <c r="I239" s="38"/>
      <c r="J239" s="54">
        <f t="shared" si="8"/>
        <v>0.20289855072463769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7115-FEF9-43BA-A39E-F1C9A237B837}">
  <dimension ref="B1:F72"/>
  <sheetViews>
    <sheetView workbookViewId="0">
      <selection activeCell="D31" sqref="D31"/>
    </sheetView>
  </sheetViews>
  <sheetFormatPr defaultRowHeight="16.5" x14ac:dyDescent="0.3"/>
  <cols>
    <col min="3" max="3" width="12.75" bestFit="1" customWidth="1"/>
    <col min="4" max="4" width="35.375" bestFit="1" customWidth="1"/>
    <col min="5" max="5" width="83.5" bestFit="1" customWidth="1"/>
  </cols>
  <sheetData>
    <row r="1" spans="2:6" ht="17.25" thickBot="1" x14ac:dyDescent="0.35">
      <c r="B1" t="s">
        <v>253</v>
      </c>
      <c r="C1" t="s">
        <v>253</v>
      </c>
      <c r="D1" s="7" t="s">
        <v>2</v>
      </c>
      <c r="E1" s="8" t="s">
        <v>0</v>
      </c>
    </row>
    <row r="2" spans="2:6" ht="17.25" thickBot="1" x14ac:dyDescent="0.35">
      <c r="B2">
        <v>1</v>
      </c>
      <c r="C2" t="str">
        <f t="shared" ref="C2:C33" si="0">LEFT(D2,10)</f>
        <v>OD262ISS02</v>
      </c>
      <c r="D2" s="9" t="s">
        <v>40</v>
      </c>
      <c r="E2" s="12" t="s">
        <v>41</v>
      </c>
      <c r="F2">
        <f>_xlfn.XLOOKUP(C2,'[1]견적서 LIST'!$E$12:$E$31,'[1]견적서 LIST'!$N$12:$N$31)</f>
        <v>15000</v>
      </c>
    </row>
    <row r="3" spans="2:6" ht="17.25" thickBot="1" x14ac:dyDescent="0.35">
      <c r="B3">
        <v>1</v>
      </c>
      <c r="C3" t="str">
        <f t="shared" si="0"/>
        <v>OD262ISS02</v>
      </c>
      <c r="D3" s="9" t="s">
        <v>42</v>
      </c>
      <c r="E3" s="12" t="s">
        <v>43</v>
      </c>
      <c r="F3">
        <f>_xlfn.XLOOKUP(C3,'[1]견적서 LIST'!$E$12:$E$31,'[1]견적서 LIST'!$N$12:$N$31)</f>
        <v>15000</v>
      </c>
    </row>
    <row r="4" spans="2:6" ht="17.25" thickBot="1" x14ac:dyDescent="0.35">
      <c r="B4">
        <v>1</v>
      </c>
      <c r="C4" t="str">
        <f t="shared" si="0"/>
        <v>OD262ISS02</v>
      </c>
      <c r="D4" s="9" t="s">
        <v>44</v>
      </c>
      <c r="E4" s="12" t="s">
        <v>45</v>
      </c>
      <c r="F4">
        <f>_xlfn.XLOOKUP(C4,'[1]견적서 LIST'!$E$12:$E$31,'[1]견적서 LIST'!$N$12:$N$31)</f>
        <v>15000</v>
      </c>
    </row>
    <row r="5" spans="2:6" ht="17.25" thickBot="1" x14ac:dyDescent="0.35">
      <c r="B5">
        <v>1</v>
      </c>
      <c r="C5" t="str">
        <f t="shared" si="0"/>
        <v>OD262ISS02</v>
      </c>
      <c r="D5" s="9" t="s">
        <v>46</v>
      </c>
      <c r="E5" s="12" t="s">
        <v>47</v>
      </c>
      <c r="F5">
        <f>_xlfn.XLOOKUP(C5,'[1]견적서 LIST'!$E$12:$E$31,'[1]견적서 LIST'!$N$12:$N$31)</f>
        <v>15000</v>
      </c>
    </row>
    <row r="6" spans="2:6" ht="17.25" thickBot="1" x14ac:dyDescent="0.35">
      <c r="B6">
        <v>1</v>
      </c>
      <c r="C6" t="str">
        <f t="shared" si="0"/>
        <v>OD262ISS02</v>
      </c>
      <c r="D6" s="9" t="s">
        <v>48</v>
      </c>
      <c r="E6" s="12" t="s">
        <v>49</v>
      </c>
      <c r="F6">
        <f>_xlfn.XLOOKUP(C6,'[1]견적서 LIST'!$E$12:$E$31,'[1]견적서 LIST'!$N$12:$N$31)</f>
        <v>15000</v>
      </c>
    </row>
    <row r="7" spans="2:6" ht="17.25" thickBot="1" x14ac:dyDescent="0.35">
      <c r="B7">
        <v>2</v>
      </c>
      <c r="C7" t="str">
        <f t="shared" si="0"/>
        <v>OD262ISS04</v>
      </c>
      <c r="D7" s="9" t="s">
        <v>54</v>
      </c>
      <c r="E7" s="12" t="s">
        <v>55</v>
      </c>
      <c r="F7">
        <f>_xlfn.XLOOKUP(C7,'[1]견적서 LIST'!$E$12:$E$31,'[1]견적서 LIST'!$N$12:$N$31)</f>
        <v>15000</v>
      </c>
    </row>
    <row r="8" spans="2:6" ht="17.25" thickBot="1" x14ac:dyDescent="0.35">
      <c r="B8">
        <v>2</v>
      </c>
      <c r="C8" t="str">
        <f t="shared" si="0"/>
        <v>OD262ISS04</v>
      </c>
      <c r="D8" s="9" t="s">
        <v>56</v>
      </c>
      <c r="E8" s="12" t="s">
        <v>57</v>
      </c>
      <c r="F8">
        <f>_xlfn.XLOOKUP(C8,'[1]견적서 LIST'!$E$12:$E$31,'[1]견적서 LIST'!$N$12:$N$31)</f>
        <v>15000</v>
      </c>
    </row>
    <row r="9" spans="2:6" ht="17.25" thickBot="1" x14ac:dyDescent="0.35">
      <c r="B9">
        <v>2</v>
      </c>
      <c r="C9" t="str">
        <f t="shared" si="0"/>
        <v>OD262ISS04</v>
      </c>
      <c r="D9" s="9" t="s">
        <v>58</v>
      </c>
      <c r="E9" s="12" t="s">
        <v>59</v>
      </c>
      <c r="F9">
        <f>_xlfn.XLOOKUP(C9,'[1]견적서 LIST'!$E$12:$E$31,'[1]견적서 LIST'!$N$12:$N$31)</f>
        <v>15000</v>
      </c>
    </row>
    <row r="10" spans="2:6" ht="17.25" thickBot="1" x14ac:dyDescent="0.35">
      <c r="B10">
        <v>2</v>
      </c>
      <c r="C10" t="str">
        <f t="shared" si="0"/>
        <v>OD262ISS04</v>
      </c>
      <c r="D10" s="9" t="s">
        <v>60</v>
      </c>
      <c r="E10" s="12" t="s">
        <v>61</v>
      </c>
      <c r="F10">
        <f>_xlfn.XLOOKUP(C10,'[1]견적서 LIST'!$E$12:$E$31,'[1]견적서 LIST'!$N$12:$N$31)</f>
        <v>15000</v>
      </c>
    </row>
    <row r="11" spans="2:6" ht="17.25" thickBot="1" x14ac:dyDescent="0.35">
      <c r="B11">
        <v>2</v>
      </c>
      <c r="C11" t="str">
        <f t="shared" si="0"/>
        <v>OD262ISS04</v>
      </c>
      <c r="D11" s="9" t="s">
        <v>62</v>
      </c>
      <c r="E11" s="12" t="s">
        <v>63</v>
      </c>
      <c r="F11">
        <f>_xlfn.XLOOKUP(C11,'[1]견적서 LIST'!$E$12:$E$31,'[1]견적서 LIST'!$N$12:$N$31)</f>
        <v>15000</v>
      </c>
    </row>
    <row r="12" spans="2:6" ht="17.25" thickBot="1" x14ac:dyDescent="0.35">
      <c r="B12">
        <v>3</v>
      </c>
      <c r="C12" t="str">
        <f t="shared" si="0"/>
        <v>OD262ISS06</v>
      </c>
      <c r="D12" s="9" t="s">
        <v>67</v>
      </c>
      <c r="E12" s="12" t="s">
        <v>68</v>
      </c>
      <c r="F12">
        <f>_xlfn.XLOOKUP(C12,'[1]견적서 LIST'!$E$12:$E$31,'[1]견적서 LIST'!$N$12:$N$31)</f>
        <v>17000</v>
      </c>
    </row>
    <row r="13" spans="2:6" ht="17.25" thickBot="1" x14ac:dyDescent="0.35">
      <c r="B13">
        <v>3</v>
      </c>
      <c r="C13" t="str">
        <f t="shared" si="0"/>
        <v>OD262ISS06</v>
      </c>
      <c r="D13" s="9" t="s">
        <v>69</v>
      </c>
      <c r="E13" s="12" t="s">
        <v>70</v>
      </c>
      <c r="F13">
        <f>_xlfn.XLOOKUP(C13,'[1]견적서 LIST'!$E$12:$E$31,'[1]견적서 LIST'!$N$12:$N$31)</f>
        <v>17000</v>
      </c>
    </row>
    <row r="14" spans="2:6" ht="17.25" thickBot="1" x14ac:dyDescent="0.35">
      <c r="B14">
        <v>3</v>
      </c>
      <c r="C14" t="str">
        <f t="shared" si="0"/>
        <v>OD262ISS06</v>
      </c>
      <c r="D14" s="9" t="s">
        <v>71</v>
      </c>
      <c r="E14" s="12" t="s">
        <v>72</v>
      </c>
      <c r="F14">
        <f>_xlfn.XLOOKUP(C14,'[1]견적서 LIST'!$E$12:$E$31,'[1]견적서 LIST'!$N$12:$N$31)</f>
        <v>17000</v>
      </c>
    </row>
    <row r="15" spans="2:6" ht="17.25" thickBot="1" x14ac:dyDescent="0.35">
      <c r="B15">
        <v>3</v>
      </c>
      <c r="C15" t="str">
        <f t="shared" si="0"/>
        <v>OD262ISS06</v>
      </c>
      <c r="D15" s="9" t="s">
        <v>73</v>
      </c>
      <c r="E15" s="12" t="s">
        <v>74</v>
      </c>
      <c r="F15">
        <f>_xlfn.XLOOKUP(C15,'[1]견적서 LIST'!$E$12:$E$31,'[1]견적서 LIST'!$N$12:$N$31)</f>
        <v>17000</v>
      </c>
    </row>
    <row r="16" spans="2:6" ht="17.25" thickBot="1" x14ac:dyDescent="0.35">
      <c r="B16">
        <v>4</v>
      </c>
      <c r="C16" t="str">
        <f t="shared" si="0"/>
        <v>OD262ISS15</v>
      </c>
      <c r="D16" s="9" t="s">
        <v>153</v>
      </c>
      <c r="E16" s="12" t="s">
        <v>154</v>
      </c>
      <c r="F16">
        <f>_xlfn.XLOOKUP(C16,'[1]견적서 LIST'!$E$12:$E$31,'[1]견적서 LIST'!$N$12:$N$31)</f>
        <v>17000</v>
      </c>
    </row>
    <row r="17" spans="2:6" ht="17.25" thickBot="1" x14ac:dyDescent="0.35">
      <c r="B17">
        <v>4</v>
      </c>
      <c r="C17" t="str">
        <f t="shared" si="0"/>
        <v>OD262ISS15</v>
      </c>
      <c r="D17" s="9" t="s">
        <v>155</v>
      </c>
      <c r="E17" s="12" t="s">
        <v>156</v>
      </c>
      <c r="F17">
        <f>_xlfn.XLOOKUP(C17,'[1]견적서 LIST'!$E$12:$E$31,'[1]견적서 LIST'!$N$12:$N$31)</f>
        <v>17000</v>
      </c>
    </row>
    <row r="18" spans="2:6" ht="17.25" thickBot="1" x14ac:dyDescent="0.35">
      <c r="B18">
        <v>4</v>
      </c>
      <c r="C18" t="str">
        <f t="shared" si="0"/>
        <v>OD262ISS15</v>
      </c>
      <c r="D18" s="9" t="s">
        <v>157</v>
      </c>
      <c r="E18" s="12" t="s">
        <v>158</v>
      </c>
      <c r="F18">
        <f>_xlfn.XLOOKUP(C18,'[1]견적서 LIST'!$E$12:$E$31,'[1]견적서 LIST'!$N$12:$N$31)</f>
        <v>17000</v>
      </c>
    </row>
    <row r="19" spans="2:6" ht="17.25" thickBot="1" x14ac:dyDescent="0.35">
      <c r="B19">
        <v>4</v>
      </c>
      <c r="C19" t="str">
        <f t="shared" si="0"/>
        <v>OD262ISS15</v>
      </c>
      <c r="D19" s="9" t="s">
        <v>159</v>
      </c>
      <c r="E19" s="12" t="s">
        <v>160</v>
      </c>
      <c r="F19">
        <f>_xlfn.XLOOKUP(C19,'[1]견적서 LIST'!$E$12:$E$31,'[1]견적서 LIST'!$N$12:$N$31)</f>
        <v>17000</v>
      </c>
    </row>
    <row r="20" spans="2:6" ht="17.25" thickBot="1" x14ac:dyDescent="0.35">
      <c r="B20">
        <v>5</v>
      </c>
      <c r="C20" t="str">
        <f t="shared" si="0"/>
        <v>OD262ISS10</v>
      </c>
      <c r="D20" s="9" t="s">
        <v>83</v>
      </c>
      <c r="E20" s="12" t="s">
        <v>84</v>
      </c>
      <c r="F20">
        <f>_xlfn.XLOOKUP(C20,'[1]견적서 LIST'!$E$12:$E$31,'[1]견적서 LIST'!$N$12:$N$31)</f>
        <v>23000</v>
      </c>
    </row>
    <row r="21" spans="2:6" ht="17.25" thickBot="1" x14ac:dyDescent="0.35">
      <c r="B21">
        <v>5</v>
      </c>
      <c r="C21" t="str">
        <f t="shared" si="0"/>
        <v>OD262ISS10</v>
      </c>
      <c r="D21" s="9" t="s">
        <v>85</v>
      </c>
      <c r="E21" s="12" t="s">
        <v>86</v>
      </c>
      <c r="F21">
        <f>_xlfn.XLOOKUP(C21,'[1]견적서 LIST'!$E$12:$E$31,'[1]견적서 LIST'!$N$12:$N$31)</f>
        <v>23000</v>
      </c>
    </row>
    <row r="22" spans="2:6" ht="17.25" thickBot="1" x14ac:dyDescent="0.35">
      <c r="B22">
        <v>5</v>
      </c>
      <c r="C22" t="str">
        <f t="shared" si="0"/>
        <v>OD262ISS10</v>
      </c>
      <c r="D22" s="9" t="s">
        <v>87</v>
      </c>
      <c r="E22" s="12" t="s">
        <v>88</v>
      </c>
      <c r="F22">
        <f>_xlfn.XLOOKUP(C22,'[1]견적서 LIST'!$E$12:$E$31,'[1]견적서 LIST'!$N$12:$N$31)</f>
        <v>23000</v>
      </c>
    </row>
    <row r="23" spans="2:6" ht="17.25" thickBot="1" x14ac:dyDescent="0.35">
      <c r="B23">
        <v>6</v>
      </c>
      <c r="C23" t="str">
        <f t="shared" si="0"/>
        <v>OD262ISS07</v>
      </c>
      <c r="D23" s="9" t="s">
        <v>75</v>
      </c>
      <c r="E23" s="12" t="s">
        <v>76</v>
      </c>
      <c r="F23">
        <f>_xlfn.XLOOKUP(C23,'[1]견적서 LIST'!$E$12:$E$31,'[1]견적서 LIST'!$N$12:$N$31)</f>
        <v>17000</v>
      </c>
    </row>
    <row r="24" spans="2:6" ht="17.25" thickBot="1" x14ac:dyDescent="0.35">
      <c r="B24">
        <v>6</v>
      </c>
      <c r="C24" t="str">
        <f t="shared" si="0"/>
        <v>OD262ISS07</v>
      </c>
      <c r="D24" s="9" t="s">
        <v>77</v>
      </c>
      <c r="E24" s="12" t="s">
        <v>78</v>
      </c>
      <c r="F24">
        <f>_xlfn.XLOOKUP(C24,'[1]견적서 LIST'!$E$12:$E$31,'[1]견적서 LIST'!$N$12:$N$31)</f>
        <v>17000</v>
      </c>
    </row>
    <row r="25" spans="2:6" ht="17.25" thickBot="1" x14ac:dyDescent="0.35">
      <c r="B25">
        <v>6</v>
      </c>
      <c r="C25" t="str">
        <f t="shared" si="0"/>
        <v>OD262ISS07</v>
      </c>
      <c r="D25" s="9" t="s">
        <v>79</v>
      </c>
      <c r="E25" s="12" t="s">
        <v>80</v>
      </c>
      <c r="F25">
        <f>_xlfn.XLOOKUP(C25,'[1]견적서 LIST'!$E$12:$E$31,'[1]견적서 LIST'!$N$12:$N$31)</f>
        <v>17000</v>
      </c>
    </row>
    <row r="26" spans="2:6" ht="17.25" thickBot="1" x14ac:dyDescent="0.35">
      <c r="B26">
        <v>7</v>
      </c>
      <c r="C26" t="str">
        <f t="shared" si="0"/>
        <v>OD262ISS21</v>
      </c>
      <c r="D26" s="9" t="s">
        <v>207</v>
      </c>
      <c r="E26" s="11" t="s">
        <v>208</v>
      </c>
      <c r="F26">
        <f>_xlfn.XLOOKUP(C26,'[1]견적서 LIST'!$E$12:$E$31,'[1]견적서 LIST'!$N$12:$N$31)</f>
        <v>15500</v>
      </c>
    </row>
    <row r="27" spans="2:6" ht="17.25" thickBot="1" x14ac:dyDescent="0.35">
      <c r="B27">
        <v>7</v>
      </c>
      <c r="C27" t="str">
        <f t="shared" si="0"/>
        <v>OD262ISS21</v>
      </c>
      <c r="D27" s="9" t="s">
        <v>209</v>
      </c>
      <c r="E27" s="11" t="s">
        <v>210</v>
      </c>
      <c r="F27">
        <f>_xlfn.XLOOKUP(C27,'[1]견적서 LIST'!$E$12:$E$31,'[1]견적서 LIST'!$N$12:$N$31)</f>
        <v>15500</v>
      </c>
    </row>
    <row r="28" spans="2:6" ht="17.25" thickBot="1" x14ac:dyDescent="0.35">
      <c r="B28">
        <v>7</v>
      </c>
      <c r="C28" t="str">
        <f t="shared" si="0"/>
        <v>OD262ISS21</v>
      </c>
      <c r="D28" s="9" t="s">
        <v>211</v>
      </c>
      <c r="E28" s="11" t="s">
        <v>212</v>
      </c>
      <c r="F28">
        <f>_xlfn.XLOOKUP(C28,'[1]견적서 LIST'!$E$12:$E$31,'[1]견적서 LIST'!$N$12:$N$31)</f>
        <v>15500</v>
      </c>
    </row>
    <row r="29" spans="2:6" ht="17.25" thickBot="1" x14ac:dyDescent="0.35">
      <c r="B29">
        <v>7</v>
      </c>
      <c r="C29" t="str">
        <f t="shared" si="0"/>
        <v>OD262ISS21</v>
      </c>
      <c r="D29" s="9" t="s">
        <v>213</v>
      </c>
      <c r="E29" s="11" t="s">
        <v>214</v>
      </c>
      <c r="F29">
        <f>_xlfn.XLOOKUP(C29,'[1]견적서 LIST'!$E$12:$E$31,'[1]견적서 LIST'!$N$12:$N$31)</f>
        <v>15500</v>
      </c>
    </row>
    <row r="30" spans="2:6" ht="17.25" thickBot="1" x14ac:dyDescent="0.35">
      <c r="B30">
        <v>8</v>
      </c>
      <c r="C30" t="str">
        <f t="shared" si="0"/>
        <v>OD262ISS22</v>
      </c>
      <c r="D30" s="9" t="s">
        <v>221</v>
      </c>
      <c r="E30" s="11" t="s">
        <v>222</v>
      </c>
      <c r="F30">
        <f>_xlfn.XLOOKUP(C30,'[1]견적서 LIST'!$E$12:$E$31,'[1]견적서 LIST'!$N$12:$N$31)</f>
        <v>15500</v>
      </c>
    </row>
    <row r="31" spans="2:6" ht="17.25" thickBot="1" x14ac:dyDescent="0.35">
      <c r="B31">
        <v>8</v>
      </c>
      <c r="C31" t="str">
        <f t="shared" si="0"/>
        <v>OD262ISS22</v>
      </c>
      <c r="D31" s="9" t="s">
        <v>223</v>
      </c>
      <c r="E31" s="11" t="s">
        <v>224</v>
      </c>
      <c r="F31">
        <f>_xlfn.XLOOKUP(C31,'[1]견적서 LIST'!$E$12:$E$31,'[1]견적서 LIST'!$N$12:$N$31)</f>
        <v>15500</v>
      </c>
    </row>
    <row r="32" spans="2:6" ht="17.25" thickBot="1" x14ac:dyDescent="0.35">
      <c r="B32">
        <v>8</v>
      </c>
      <c r="C32" t="str">
        <f t="shared" si="0"/>
        <v>OD262ISS22</v>
      </c>
      <c r="D32" s="9" t="s">
        <v>225</v>
      </c>
      <c r="E32" s="11" t="s">
        <v>226</v>
      </c>
      <c r="F32">
        <f>_xlfn.XLOOKUP(C32,'[1]견적서 LIST'!$E$12:$E$31,'[1]견적서 LIST'!$N$12:$N$31)</f>
        <v>15500</v>
      </c>
    </row>
    <row r="33" spans="2:6" ht="17.25" thickBot="1" x14ac:dyDescent="0.35">
      <c r="B33">
        <v>9</v>
      </c>
      <c r="C33" t="str">
        <f t="shared" si="0"/>
        <v>OD262ISS23</v>
      </c>
      <c r="D33" s="9" t="s">
        <v>215</v>
      </c>
      <c r="E33" s="11" t="s">
        <v>216</v>
      </c>
      <c r="F33">
        <f>_xlfn.XLOOKUP(C33,'[1]견적서 LIST'!$E$12:$E$31,'[1]견적서 LIST'!$N$12:$N$31)</f>
        <v>21000</v>
      </c>
    </row>
    <row r="34" spans="2:6" ht="17.25" thickBot="1" x14ac:dyDescent="0.35">
      <c r="B34">
        <v>9</v>
      </c>
      <c r="C34" t="str">
        <f t="shared" ref="C34:C65" si="1">LEFT(D34,10)</f>
        <v>OD262ISS23</v>
      </c>
      <c r="D34" s="9" t="s">
        <v>217</v>
      </c>
      <c r="E34" s="11" t="s">
        <v>218</v>
      </c>
      <c r="F34">
        <f>_xlfn.XLOOKUP(C34,'[1]견적서 LIST'!$E$12:$E$31,'[1]견적서 LIST'!$N$12:$N$31)</f>
        <v>21000</v>
      </c>
    </row>
    <row r="35" spans="2:6" ht="17.25" thickBot="1" x14ac:dyDescent="0.35">
      <c r="B35">
        <v>9</v>
      </c>
      <c r="C35" t="str">
        <f t="shared" si="1"/>
        <v>OD262ISS23</v>
      </c>
      <c r="D35" s="9" t="s">
        <v>219</v>
      </c>
      <c r="E35" s="11" t="s">
        <v>220</v>
      </c>
      <c r="F35">
        <f>_xlfn.XLOOKUP(C35,'[1]견적서 LIST'!$E$12:$E$31,'[1]견적서 LIST'!$N$12:$N$31)</f>
        <v>21000</v>
      </c>
    </row>
    <row r="36" spans="2:6" ht="17.25" thickBot="1" x14ac:dyDescent="0.35">
      <c r="B36">
        <v>10</v>
      </c>
      <c r="C36" t="str">
        <f t="shared" si="1"/>
        <v>OD262ISS71</v>
      </c>
      <c r="D36" s="9" t="s">
        <v>188</v>
      </c>
      <c r="E36" s="12" t="s">
        <v>189</v>
      </c>
      <c r="F36">
        <f>_xlfn.XLOOKUP(C36,'[1]견적서 LIST'!$E$12:$E$31,'[1]견적서 LIST'!$N$12:$N$31)</f>
        <v>21000</v>
      </c>
    </row>
    <row r="37" spans="2:6" ht="17.25" thickBot="1" x14ac:dyDescent="0.35">
      <c r="B37">
        <v>10</v>
      </c>
      <c r="C37" t="str">
        <f t="shared" si="1"/>
        <v>OD262ISS71</v>
      </c>
      <c r="D37" s="9" t="s">
        <v>190</v>
      </c>
      <c r="E37" s="12" t="s">
        <v>191</v>
      </c>
      <c r="F37">
        <f>_xlfn.XLOOKUP(C37,'[1]견적서 LIST'!$E$12:$E$31,'[1]견적서 LIST'!$N$12:$N$31)</f>
        <v>21000</v>
      </c>
    </row>
    <row r="38" spans="2:6" ht="17.25" thickBot="1" x14ac:dyDescent="0.35">
      <c r="B38">
        <v>11</v>
      </c>
      <c r="C38" t="str">
        <f t="shared" si="1"/>
        <v>OD262ISS93</v>
      </c>
      <c r="D38" s="9" t="s">
        <v>138</v>
      </c>
      <c r="E38" s="12" t="s">
        <v>139</v>
      </c>
      <c r="F38">
        <f>_xlfn.XLOOKUP(C38,'[1]견적서 LIST'!$E$12:$E$31,'[1]견적서 LIST'!$N$12:$N$31)</f>
        <v>17000</v>
      </c>
    </row>
    <row r="39" spans="2:6" ht="17.25" thickBot="1" x14ac:dyDescent="0.35">
      <c r="B39">
        <v>11</v>
      </c>
      <c r="C39" t="str">
        <f t="shared" si="1"/>
        <v>OD262ISS93</v>
      </c>
      <c r="D39" s="9" t="s">
        <v>140</v>
      </c>
      <c r="E39" s="12" t="s">
        <v>141</v>
      </c>
      <c r="F39">
        <f>_xlfn.XLOOKUP(C39,'[1]견적서 LIST'!$E$12:$E$31,'[1]견적서 LIST'!$N$12:$N$31)</f>
        <v>17000</v>
      </c>
    </row>
    <row r="40" spans="2:6" ht="17.25" thickBot="1" x14ac:dyDescent="0.35">
      <c r="B40">
        <v>11</v>
      </c>
      <c r="C40" t="str">
        <f t="shared" si="1"/>
        <v>OD262ISS93</v>
      </c>
      <c r="D40" s="9" t="s">
        <v>142</v>
      </c>
      <c r="E40" s="12" t="s">
        <v>143</v>
      </c>
      <c r="F40">
        <f>_xlfn.XLOOKUP(C40,'[1]견적서 LIST'!$E$12:$E$31,'[1]견적서 LIST'!$N$12:$N$31)</f>
        <v>17000</v>
      </c>
    </row>
    <row r="41" spans="2:6" ht="17.25" thickBot="1" x14ac:dyDescent="0.35">
      <c r="B41">
        <v>12</v>
      </c>
      <c r="C41" t="str">
        <f t="shared" si="1"/>
        <v>OD262ISS91</v>
      </c>
      <c r="D41" s="9" t="s">
        <v>126</v>
      </c>
      <c r="E41" s="12" t="s">
        <v>127</v>
      </c>
      <c r="F41">
        <f>_xlfn.XLOOKUP(C41,'[1]견적서 LIST'!$E$12:$E$31,'[1]견적서 LIST'!$N$12:$N$31)</f>
        <v>14000</v>
      </c>
    </row>
    <row r="42" spans="2:6" ht="17.25" thickBot="1" x14ac:dyDescent="0.35">
      <c r="B42">
        <v>12</v>
      </c>
      <c r="C42" t="str">
        <f t="shared" si="1"/>
        <v>OD262ISS91</v>
      </c>
      <c r="D42" s="9" t="s">
        <v>128</v>
      </c>
      <c r="E42" s="12" t="s">
        <v>129</v>
      </c>
      <c r="F42">
        <f>_xlfn.XLOOKUP(C42,'[1]견적서 LIST'!$E$12:$E$31,'[1]견적서 LIST'!$N$12:$N$31)</f>
        <v>14000</v>
      </c>
    </row>
    <row r="43" spans="2:6" ht="17.25" thickBot="1" x14ac:dyDescent="0.35">
      <c r="B43">
        <v>12</v>
      </c>
      <c r="C43" t="str">
        <f t="shared" si="1"/>
        <v>OD262ISS91</v>
      </c>
      <c r="D43" s="9" t="s">
        <v>130</v>
      </c>
      <c r="E43" s="12" t="s">
        <v>131</v>
      </c>
      <c r="F43">
        <f>_xlfn.XLOOKUP(C43,'[1]견적서 LIST'!$E$12:$E$31,'[1]견적서 LIST'!$N$12:$N$31)</f>
        <v>14000</v>
      </c>
    </row>
    <row r="44" spans="2:6" ht="17.25" thickBot="1" x14ac:dyDescent="0.35">
      <c r="B44">
        <v>13</v>
      </c>
      <c r="C44" t="str">
        <f t="shared" si="1"/>
        <v>OD262ISS92</v>
      </c>
      <c r="D44" s="10" t="s">
        <v>132</v>
      </c>
      <c r="E44" s="13" t="s">
        <v>133</v>
      </c>
      <c r="F44">
        <f>_xlfn.XLOOKUP(C44,'[1]견적서 LIST'!$E$12:$E$31,'[1]견적서 LIST'!$N$12:$N$31)</f>
        <v>15000</v>
      </c>
    </row>
    <row r="45" spans="2:6" ht="18" thickTop="1" thickBot="1" x14ac:dyDescent="0.35">
      <c r="B45">
        <v>13</v>
      </c>
      <c r="C45" t="str">
        <f t="shared" si="1"/>
        <v>OD262ISS92</v>
      </c>
      <c r="D45" s="9" t="s">
        <v>134</v>
      </c>
      <c r="E45" s="12" t="s">
        <v>135</v>
      </c>
      <c r="F45">
        <f>_xlfn.XLOOKUP(C45,'[1]견적서 LIST'!$E$12:$E$31,'[1]견적서 LIST'!$N$12:$N$31)</f>
        <v>15000</v>
      </c>
    </row>
    <row r="46" spans="2:6" ht="17.25" thickBot="1" x14ac:dyDescent="0.35">
      <c r="B46">
        <v>13</v>
      </c>
      <c r="C46" t="str">
        <f t="shared" si="1"/>
        <v>OD262ISS92</v>
      </c>
      <c r="D46" s="9" t="s">
        <v>136</v>
      </c>
      <c r="E46" s="12" t="s">
        <v>137</v>
      </c>
      <c r="F46">
        <f>_xlfn.XLOOKUP(C46,'[1]견적서 LIST'!$E$12:$E$31,'[1]견적서 LIST'!$N$12:$N$31)</f>
        <v>15000</v>
      </c>
    </row>
    <row r="47" spans="2:6" ht="17.25" thickBot="1" x14ac:dyDescent="0.35">
      <c r="B47">
        <v>14</v>
      </c>
      <c r="C47" t="str">
        <f t="shared" si="1"/>
        <v>OD262ITK24</v>
      </c>
      <c r="D47" s="9" t="s">
        <v>227</v>
      </c>
      <c r="E47" s="11" t="s">
        <v>228</v>
      </c>
      <c r="F47">
        <f>_xlfn.XLOOKUP(C47,'[1]견적서 LIST'!$E$12:$E$31,'[1]견적서 LIST'!$N$12:$N$31)</f>
        <v>19000</v>
      </c>
    </row>
    <row r="48" spans="2:6" ht="17.25" thickBot="1" x14ac:dyDescent="0.35">
      <c r="B48">
        <v>14</v>
      </c>
      <c r="C48" t="str">
        <f t="shared" si="1"/>
        <v>OD262ITK24</v>
      </c>
      <c r="D48" s="9" t="s">
        <v>229</v>
      </c>
      <c r="E48" s="11" t="s">
        <v>230</v>
      </c>
      <c r="F48">
        <f>_xlfn.XLOOKUP(C48,'[1]견적서 LIST'!$E$12:$E$31,'[1]견적서 LIST'!$N$12:$N$31)</f>
        <v>19000</v>
      </c>
    </row>
    <row r="49" spans="2:6" ht="17.25" thickBot="1" x14ac:dyDescent="0.35">
      <c r="B49">
        <v>14</v>
      </c>
      <c r="C49" t="str">
        <f t="shared" si="1"/>
        <v>OD262ITK24</v>
      </c>
      <c r="D49" s="9" t="s">
        <v>231</v>
      </c>
      <c r="E49" s="11" t="s">
        <v>232</v>
      </c>
      <c r="F49">
        <f>_xlfn.XLOOKUP(C49,'[1]견적서 LIST'!$E$12:$E$31,'[1]견적서 LIST'!$N$12:$N$31)</f>
        <v>19000</v>
      </c>
    </row>
    <row r="50" spans="2:6" ht="17.25" thickBot="1" x14ac:dyDescent="0.35">
      <c r="B50">
        <v>15</v>
      </c>
      <c r="C50" t="str">
        <f t="shared" si="1"/>
        <v>OD262BHP11</v>
      </c>
      <c r="D50" s="9" t="s">
        <v>177</v>
      </c>
      <c r="E50" s="12" t="s">
        <v>178</v>
      </c>
      <c r="F50">
        <f>_xlfn.XLOOKUP(C50,'[1]견적서 LIST'!$E$12:$E$31,'[1]견적서 LIST'!$N$12:$N$31)</f>
        <v>23000</v>
      </c>
    </row>
    <row r="51" spans="2:6" ht="17.25" thickBot="1" x14ac:dyDescent="0.35">
      <c r="B51">
        <v>15</v>
      </c>
      <c r="C51" t="str">
        <f t="shared" si="1"/>
        <v>OD262BHP11</v>
      </c>
      <c r="D51" s="9" t="s">
        <v>179</v>
      </c>
      <c r="E51" s="12" t="s">
        <v>180</v>
      </c>
      <c r="F51">
        <f>_xlfn.XLOOKUP(C51,'[1]견적서 LIST'!$E$12:$E$31,'[1]견적서 LIST'!$N$12:$N$31)</f>
        <v>23000</v>
      </c>
    </row>
    <row r="52" spans="2:6" ht="17.25" thickBot="1" x14ac:dyDescent="0.35">
      <c r="B52">
        <v>15</v>
      </c>
      <c r="C52" t="str">
        <f t="shared" si="1"/>
        <v>OD262BHP11</v>
      </c>
      <c r="D52" s="9" t="s">
        <v>181</v>
      </c>
      <c r="E52" s="12" t="s">
        <v>182</v>
      </c>
      <c r="F52">
        <f>_xlfn.XLOOKUP(C52,'[1]견적서 LIST'!$E$12:$E$31,'[1]견적서 LIST'!$N$12:$N$31)</f>
        <v>23000</v>
      </c>
    </row>
    <row r="53" spans="2:6" ht="17.25" thickBot="1" x14ac:dyDescent="0.35">
      <c r="B53">
        <v>16</v>
      </c>
      <c r="C53" t="str">
        <f t="shared" si="1"/>
        <v>OD262BHP03</v>
      </c>
      <c r="D53" s="9" t="s">
        <v>92</v>
      </c>
      <c r="E53" s="12" t="s">
        <v>93</v>
      </c>
      <c r="F53">
        <f>_xlfn.XLOOKUP(C53,'[1]견적서 LIST'!$E$12:$E$31,'[1]견적서 LIST'!$N$12:$N$31)</f>
        <v>17000</v>
      </c>
    </row>
    <row r="54" spans="2:6" ht="17.25" thickBot="1" x14ac:dyDescent="0.35">
      <c r="B54">
        <v>16</v>
      </c>
      <c r="C54" t="str">
        <f t="shared" si="1"/>
        <v>OD262BHP03</v>
      </c>
      <c r="D54" s="9" t="s">
        <v>94</v>
      </c>
      <c r="E54" s="12" t="s">
        <v>95</v>
      </c>
      <c r="F54">
        <f>_xlfn.XLOOKUP(C54,'[1]견적서 LIST'!$E$12:$E$31,'[1]견적서 LIST'!$N$12:$N$31)</f>
        <v>17000</v>
      </c>
    </row>
    <row r="55" spans="2:6" ht="17.25" thickBot="1" x14ac:dyDescent="0.35">
      <c r="B55">
        <v>16</v>
      </c>
      <c r="C55" t="str">
        <f t="shared" si="1"/>
        <v>OD262BHP03</v>
      </c>
      <c r="D55" s="9" t="s">
        <v>96</v>
      </c>
      <c r="E55" s="12" t="s">
        <v>97</v>
      </c>
      <c r="F55">
        <f>_xlfn.XLOOKUP(C55,'[1]견적서 LIST'!$E$12:$E$31,'[1]견적서 LIST'!$N$12:$N$31)</f>
        <v>17000</v>
      </c>
    </row>
    <row r="56" spans="2:6" ht="17.25" thickBot="1" x14ac:dyDescent="0.35">
      <c r="B56">
        <v>16</v>
      </c>
      <c r="C56" t="str">
        <f t="shared" si="1"/>
        <v>OD262BHP03</v>
      </c>
      <c r="D56" s="9" t="s">
        <v>98</v>
      </c>
      <c r="E56" s="12" t="s">
        <v>99</v>
      </c>
      <c r="F56">
        <f>_xlfn.XLOOKUP(C56,'[1]견적서 LIST'!$E$12:$E$31,'[1]견적서 LIST'!$N$12:$N$31)</f>
        <v>17000</v>
      </c>
    </row>
    <row r="57" spans="2:6" ht="17.25" thickBot="1" x14ac:dyDescent="0.35">
      <c r="B57">
        <v>16</v>
      </c>
      <c r="C57" t="str">
        <f t="shared" si="1"/>
        <v>OD262BHP03</v>
      </c>
      <c r="D57" s="9" t="s">
        <v>100</v>
      </c>
      <c r="E57" s="12" t="s">
        <v>101</v>
      </c>
      <c r="F57">
        <f>_xlfn.XLOOKUP(C57,'[1]견적서 LIST'!$E$12:$E$31,'[1]견적서 LIST'!$N$12:$N$31)</f>
        <v>17000</v>
      </c>
    </row>
    <row r="58" spans="2:6" ht="17.25" thickBot="1" x14ac:dyDescent="0.35">
      <c r="B58">
        <v>17</v>
      </c>
      <c r="C58" t="str">
        <f t="shared" si="1"/>
        <v>OD262BHP04</v>
      </c>
      <c r="D58" s="9" t="s">
        <v>102</v>
      </c>
      <c r="E58" s="12" t="s">
        <v>103</v>
      </c>
      <c r="F58">
        <f>_xlfn.XLOOKUP(C58,'[1]견적서 LIST'!$E$12:$E$31,'[1]견적서 LIST'!$N$12:$N$31)</f>
        <v>20000</v>
      </c>
    </row>
    <row r="59" spans="2:6" ht="17.25" thickBot="1" x14ac:dyDescent="0.35">
      <c r="B59">
        <v>17</v>
      </c>
      <c r="C59" t="str">
        <f t="shared" si="1"/>
        <v>OD262BHP04</v>
      </c>
      <c r="D59" s="9" t="s">
        <v>104</v>
      </c>
      <c r="E59" s="12" t="s">
        <v>105</v>
      </c>
      <c r="F59">
        <f>_xlfn.XLOOKUP(C59,'[1]견적서 LIST'!$E$12:$E$31,'[1]견적서 LIST'!$N$12:$N$31)</f>
        <v>20000</v>
      </c>
    </row>
    <row r="60" spans="2:6" ht="17.25" thickBot="1" x14ac:dyDescent="0.35">
      <c r="B60">
        <v>17</v>
      </c>
      <c r="C60" t="str">
        <f t="shared" si="1"/>
        <v>OD262BHP04</v>
      </c>
      <c r="D60" s="9" t="s">
        <v>106</v>
      </c>
      <c r="E60" s="12" t="s">
        <v>107</v>
      </c>
      <c r="F60">
        <f>_xlfn.XLOOKUP(C60,'[1]견적서 LIST'!$E$12:$E$31,'[1]견적서 LIST'!$N$12:$N$31)</f>
        <v>20000</v>
      </c>
    </row>
    <row r="61" spans="2:6" ht="17.25" thickBot="1" x14ac:dyDescent="0.35">
      <c r="B61">
        <v>17</v>
      </c>
      <c r="C61" t="str">
        <f t="shared" si="1"/>
        <v>OD262BHP04</v>
      </c>
      <c r="D61" s="9" t="s">
        <v>108</v>
      </c>
      <c r="E61" s="12" t="s">
        <v>109</v>
      </c>
      <c r="F61">
        <f>_xlfn.XLOOKUP(C61,'[1]견적서 LIST'!$E$12:$E$31,'[1]견적서 LIST'!$N$12:$N$31)</f>
        <v>20000</v>
      </c>
    </row>
    <row r="62" spans="2:6" ht="17.25" thickBot="1" x14ac:dyDescent="0.35">
      <c r="B62">
        <v>17</v>
      </c>
      <c r="C62" t="str">
        <f t="shared" si="1"/>
        <v>OD262BHP04</v>
      </c>
      <c r="D62" s="9" t="s">
        <v>110</v>
      </c>
      <c r="E62" s="12" t="s">
        <v>111</v>
      </c>
      <c r="F62">
        <f>_xlfn.XLOOKUP(C62,'[1]견적서 LIST'!$E$12:$E$31,'[1]견적서 LIST'!$N$12:$N$31)</f>
        <v>20000</v>
      </c>
    </row>
    <row r="63" spans="2:6" ht="17.25" thickBot="1" x14ac:dyDescent="0.35">
      <c r="B63">
        <v>18</v>
      </c>
      <c r="C63" t="str">
        <f t="shared" si="1"/>
        <v>OD262BHP05</v>
      </c>
      <c r="D63" s="9" t="s">
        <v>112</v>
      </c>
      <c r="E63" s="12" t="s">
        <v>113</v>
      </c>
      <c r="F63">
        <f>_xlfn.XLOOKUP(C63,'[1]견적서 LIST'!$E$12:$E$31,'[1]견적서 LIST'!$N$12:$N$31)</f>
        <v>15500</v>
      </c>
    </row>
    <row r="64" spans="2:6" ht="17.25" thickBot="1" x14ac:dyDescent="0.35">
      <c r="B64">
        <v>18</v>
      </c>
      <c r="C64" t="str">
        <f t="shared" si="1"/>
        <v>OD262BHP05</v>
      </c>
      <c r="D64" s="9" t="s">
        <v>114</v>
      </c>
      <c r="E64" s="12" t="s">
        <v>115</v>
      </c>
      <c r="F64">
        <f>_xlfn.XLOOKUP(C64,'[1]견적서 LIST'!$E$12:$E$31,'[1]견적서 LIST'!$N$12:$N$31)</f>
        <v>15500</v>
      </c>
    </row>
    <row r="65" spans="2:6" ht="17.25" thickBot="1" x14ac:dyDescent="0.35">
      <c r="B65">
        <v>18</v>
      </c>
      <c r="C65" t="str">
        <f t="shared" si="1"/>
        <v>OD262BHP05</v>
      </c>
      <c r="D65" s="9" t="s">
        <v>116</v>
      </c>
      <c r="E65" s="12" t="s">
        <v>117</v>
      </c>
      <c r="F65">
        <f>_xlfn.XLOOKUP(C65,'[1]견적서 LIST'!$E$12:$E$31,'[1]견적서 LIST'!$N$12:$N$31)</f>
        <v>15500</v>
      </c>
    </row>
    <row r="66" spans="2:6" ht="17.25" thickBot="1" x14ac:dyDescent="0.35">
      <c r="B66">
        <v>18</v>
      </c>
      <c r="C66" t="str">
        <f t="shared" ref="C66:C71" si="2">LEFT(D66,10)</f>
        <v>OD262BHP05</v>
      </c>
      <c r="D66" s="9" t="s">
        <v>118</v>
      </c>
      <c r="E66" s="12" t="s">
        <v>119</v>
      </c>
      <c r="F66">
        <f>_xlfn.XLOOKUP(C66,'[1]견적서 LIST'!$E$12:$E$31,'[1]견적서 LIST'!$N$12:$N$31)</f>
        <v>15500</v>
      </c>
    </row>
    <row r="67" spans="2:6" ht="17.25" thickBot="1" x14ac:dyDescent="0.35">
      <c r="B67">
        <v>19</v>
      </c>
      <c r="C67" t="str">
        <f t="shared" si="2"/>
        <v>OD262BHP15</v>
      </c>
      <c r="D67" s="9" t="s">
        <v>237</v>
      </c>
      <c r="E67" s="11" t="s">
        <v>238</v>
      </c>
      <c r="F67">
        <f>_xlfn.XLOOKUP(C67,'[1]견적서 LIST'!$E$12:$E$31,'[1]견적서 LIST'!$N$12:$N$31)</f>
        <v>27000</v>
      </c>
    </row>
    <row r="68" spans="2:6" ht="17.25" thickBot="1" x14ac:dyDescent="0.35">
      <c r="B68">
        <v>19</v>
      </c>
      <c r="C68" t="str">
        <f t="shared" si="2"/>
        <v>OD262BHP15</v>
      </c>
      <c r="D68" s="9" t="s">
        <v>239</v>
      </c>
      <c r="E68" s="11" t="s">
        <v>240</v>
      </c>
      <c r="F68">
        <f>_xlfn.XLOOKUP(C68,'[1]견적서 LIST'!$E$12:$E$31,'[1]견적서 LIST'!$N$12:$N$31)</f>
        <v>27000</v>
      </c>
    </row>
    <row r="69" spans="2:6" ht="17.25" thickBot="1" x14ac:dyDescent="0.35">
      <c r="B69">
        <v>19</v>
      </c>
      <c r="C69" t="str">
        <f t="shared" si="2"/>
        <v>OD262BHP15</v>
      </c>
      <c r="D69" s="9" t="s">
        <v>241</v>
      </c>
      <c r="E69" s="11" t="s">
        <v>242</v>
      </c>
      <c r="F69">
        <f>_xlfn.XLOOKUP(C69,'[1]견적서 LIST'!$E$12:$E$31,'[1]견적서 LIST'!$N$12:$N$31)</f>
        <v>27000</v>
      </c>
    </row>
    <row r="70" spans="2:6" ht="17.25" thickBot="1" x14ac:dyDescent="0.35">
      <c r="B70">
        <v>20</v>
      </c>
      <c r="C70" t="str">
        <f t="shared" si="2"/>
        <v>OD262EOP71</v>
      </c>
      <c r="D70" s="9" t="s">
        <v>201</v>
      </c>
      <c r="E70" s="12" t="s">
        <v>202</v>
      </c>
      <c r="F70">
        <f>_xlfn.XLOOKUP(C70,'[1]견적서 LIST'!$E$12:$E$31,'[1]견적서 LIST'!$N$12:$N$31)</f>
        <v>31000</v>
      </c>
    </row>
    <row r="71" spans="2:6" ht="17.25" thickBot="1" x14ac:dyDescent="0.35">
      <c r="B71">
        <v>20</v>
      </c>
      <c r="C71" t="str">
        <f t="shared" si="2"/>
        <v>OD262EOP71</v>
      </c>
      <c r="D71" s="9" t="s">
        <v>203</v>
      </c>
      <c r="E71" s="12" t="s">
        <v>204</v>
      </c>
      <c r="F71">
        <f>_xlfn.XLOOKUP(C71,'[1]견적서 LIST'!$E$12:$E$31,'[1]견적서 LIST'!$N$12:$N$31)</f>
        <v>31000</v>
      </c>
    </row>
    <row r="72" spans="2:6" ht="17.25" thickBot="1" x14ac:dyDescent="0.35">
      <c r="D72" s="9"/>
      <c r="E72" s="12"/>
    </row>
  </sheetData>
  <autoFilter ref="B1:E71" xr:uid="{C4CC7115-FEF9-43BA-A39E-F1C9A237B837}">
    <sortState xmlns:xlrd2="http://schemas.microsoft.com/office/spreadsheetml/2017/richdata2" ref="B2:E71">
      <sortCondition ref="B1:B7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9F88-E875-4132-870C-0849D92CE976}">
  <dimension ref="F1:G15"/>
  <sheetViews>
    <sheetView workbookViewId="0">
      <selection activeCell="O21" sqref="O21"/>
    </sheetView>
  </sheetViews>
  <sheetFormatPr defaultRowHeight="16.5" x14ac:dyDescent="0.3"/>
  <sheetData>
    <row r="1" spans="6:7" ht="17.25" thickBot="1" x14ac:dyDescent="0.35">
      <c r="F1" t="s">
        <v>268</v>
      </c>
      <c r="G1" t="s">
        <v>268</v>
      </c>
    </row>
    <row r="2" spans="6:7" x14ac:dyDescent="0.3">
      <c r="F2" s="14" t="s">
        <v>254</v>
      </c>
      <c r="G2" s="15">
        <v>1</v>
      </c>
    </row>
    <row r="3" spans="6:7" x14ac:dyDescent="0.3">
      <c r="F3" s="16" t="s">
        <v>261</v>
      </c>
      <c r="G3" s="17">
        <v>2</v>
      </c>
    </row>
    <row r="4" spans="6:7" ht="17.25" thickBot="1" x14ac:dyDescent="0.35">
      <c r="F4" s="18" t="s">
        <v>255</v>
      </c>
      <c r="G4" s="19">
        <v>3</v>
      </c>
    </row>
    <row r="5" spans="6:7" x14ac:dyDescent="0.3">
      <c r="F5" s="14" t="s">
        <v>256</v>
      </c>
      <c r="G5" s="15">
        <v>4</v>
      </c>
    </row>
    <row r="6" spans="6:7" x14ac:dyDescent="0.3">
      <c r="F6" s="16" t="s">
        <v>262</v>
      </c>
      <c r="G6" s="17">
        <v>5</v>
      </c>
    </row>
    <row r="7" spans="6:7" ht="17.25" thickBot="1" x14ac:dyDescent="0.35">
      <c r="F7" s="18" t="s">
        <v>259</v>
      </c>
      <c r="G7" s="19">
        <v>6</v>
      </c>
    </row>
    <row r="8" spans="6:7" x14ac:dyDescent="0.3">
      <c r="F8" s="14" t="s">
        <v>263</v>
      </c>
      <c r="G8" s="15">
        <v>7</v>
      </c>
    </row>
    <row r="9" spans="6:7" ht="17.25" thickBot="1" x14ac:dyDescent="0.35">
      <c r="F9" s="18" t="s">
        <v>264</v>
      </c>
      <c r="G9" s="19">
        <v>8</v>
      </c>
    </row>
    <row r="10" spans="6:7" x14ac:dyDescent="0.3">
      <c r="F10" s="14" t="s">
        <v>260</v>
      </c>
      <c r="G10" s="15">
        <v>9</v>
      </c>
    </row>
    <row r="11" spans="6:7" ht="17.25" thickBot="1" x14ac:dyDescent="0.35">
      <c r="F11" s="18" t="s">
        <v>257</v>
      </c>
      <c r="G11" s="19">
        <v>10</v>
      </c>
    </row>
    <row r="12" spans="6:7" ht="17.25" thickBot="1" x14ac:dyDescent="0.35">
      <c r="F12" s="20" t="s">
        <v>265</v>
      </c>
      <c r="G12" s="21">
        <v>11</v>
      </c>
    </row>
    <row r="13" spans="6:7" ht="17.25" thickBot="1" x14ac:dyDescent="0.35">
      <c r="F13" s="20" t="s">
        <v>258</v>
      </c>
      <c r="G13" s="21">
        <v>12</v>
      </c>
    </row>
    <row r="14" spans="6:7" ht="17.25" thickBot="1" x14ac:dyDescent="0.35">
      <c r="F14" s="20" t="s">
        <v>266</v>
      </c>
      <c r="G14" s="21">
        <v>13</v>
      </c>
    </row>
    <row r="15" spans="6:7" ht="17.25" thickBot="1" x14ac:dyDescent="0.35">
      <c r="F15" s="20" t="s">
        <v>267</v>
      </c>
      <c r="G15" s="21">
        <v>14</v>
      </c>
    </row>
  </sheetData>
  <autoFilter ref="F1:G16" xr:uid="{5F929F88-E875-4132-870C-0849D92CE976}">
    <sortState xmlns:xlrd2="http://schemas.microsoft.com/office/spreadsheetml/2017/richdata2" ref="F2:G16">
      <sortCondition ref="G1:G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요청사항</vt:lpstr>
      <vt:lpstr>상품구성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childy_8</dc:creator>
  <cp:lastModifiedBy>childy_8</cp:lastModifiedBy>
  <dcterms:created xsi:type="dcterms:W3CDTF">2026-07-24T08:05:21Z</dcterms:created>
  <dcterms:modified xsi:type="dcterms:W3CDTF">2026-07-30T05:13:00Z</dcterms:modified>
</cp:coreProperties>
</file>