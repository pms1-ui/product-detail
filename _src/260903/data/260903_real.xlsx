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myeongsu/Documents/kiro/14-kakaotalkdeal/_src/260903/data/"/>
    </mc:Choice>
  </mc:AlternateContent>
  <xr:revisionPtr revIDLastSave="0" documentId="13_ncr:1_{76D26510-7BAB-1D49-8013-9D8FC4EF56D9}" xr6:coauthVersionLast="47" xr6:coauthVersionMax="47" xr10:uidLastSave="{00000000-0000-0000-0000-000000000000}"/>
  <bookViews>
    <workbookView xWindow="0" yWindow="500" windowWidth="29040" windowHeight="15720" xr2:uid="{E138A16A-8223-417E-902B-92989BE94A28}"/>
  </bookViews>
  <sheets>
    <sheet name="상품구성" sheetId="16" r:id="rId1"/>
    <sheet name="원본" sheetId="3" r:id="rId2"/>
    <sheet name="Sheet1" sheetId="15" r:id="rId3"/>
  </sheets>
  <definedNames>
    <definedName name="_xlnm._FilterDatabase" localSheetId="1" hidden="1">원본!$B$8:$S$228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16" l="1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4" i="16"/>
  <c r="F153" i="16"/>
  <c r="F152" i="16"/>
  <c r="F151" i="16"/>
  <c r="F150" i="16"/>
  <c r="F157" i="16"/>
  <c r="F156" i="16"/>
  <c r="F155" i="16"/>
  <c r="F11" i="16"/>
  <c r="F10" i="16"/>
  <c r="F9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8" i="16"/>
  <c r="F7" i="16"/>
  <c r="F6" i="16"/>
  <c r="F5" i="16"/>
  <c r="F4" i="16"/>
  <c r="F3" i="16"/>
  <c r="F2" i="16"/>
  <c r="K55" i="16"/>
  <c r="K56" i="16"/>
  <c r="K220" i="16" l="1"/>
  <c r="K219" i="16"/>
  <c r="K218" i="16"/>
  <c r="K217" i="16"/>
  <c r="K216" i="16"/>
  <c r="K212" i="16"/>
  <c r="K211" i="16"/>
  <c r="K210" i="16"/>
  <c r="K215" i="16"/>
  <c r="K214" i="16"/>
  <c r="K213" i="16"/>
  <c r="K208" i="16"/>
  <c r="K204" i="16"/>
  <c r="K193" i="16"/>
  <c r="K188" i="16"/>
  <c r="K167" i="16"/>
  <c r="K185" i="16"/>
  <c r="K152" i="16"/>
  <c r="K151" i="16"/>
  <c r="K150" i="16"/>
  <c r="K174" i="16"/>
  <c r="K173" i="16"/>
  <c r="K171" i="16"/>
  <c r="K170" i="16"/>
  <c r="K169" i="16"/>
  <c r="K197" i="16"/>
  <c r="K196" i="16"/>
  <c r="K186" i="16"/>
  <c r="K177" i="16"/>
  <c r="K176" i="16"/>
  <c r="K160" i="16"/>
  <c r="K159" i="16"/>
  <c r="K181" i="16"/>
  <c r="K180" i="16"/>
  <c r="K179" i="16"/>
  <c r="K178" i="16"/>
  <c r="K183" i="16"/>
  <c r="K182" i="16"/>
  <c r="K11" i="16"/>
  <c r="D11" i="16"/>
  <c r="K10" i="16"/>
  <c r="D10" i="16"/>
  <c r="K9" i="16"/>
  <c r="D9" i="16"/>
  <c r="D157" i="16"/>
  <c r="D156" i="16"/>
  <c r="D155" i="16"/>
  <c r="K140" i="16"/>
  <c r="K139" i="16"/>
  <c r="K138" i="16"/>
  <c r="K137" i="16"/>
  <c r="K136" i="16"/>
  <c r="K135" i="16"/>
  <c r="K134" i="16"/>
  <c r="K133" i="16"/>
  <c r="K132" i="16"/>
  <c r="K131" i="16"/>
  <c r="K121" i="16"/>
  <c r="K120" i="16"/>
  <c r="K119" i="16"/>
  <c r="K118" i="16"/>
  <c r="K117" i="16"/>
  <c r="K116" i="16"/>
  <c r="K115" i="16"/>
  <c r="K114" i="16"/>
  <c r="K130" i="16"/>
  <c r="K129" i="16"/>
  <c r="K128" i="16"/>
  <c r="K127" i="16"/>
  <c r="K126" i="16"/>
  <c r="K125" i="16"/>
  <c r="K124" i="16"/>
  <c r="K123" i="16"/>
  <c r="K122" i="16"/>
  <c r="K101" i="16"/>
  <c r="K97" i="16"/>
  <c r="K94" i="16"/>
  <c r="K88" i="16"/>
  <c r="K85" i="16"/>
  <c r="K77" i="16"/>
  <c r="K63" i="16"/>
  <c r="K62" i="16"/>
  <c r="K49" i="16"/>
  <c r="K43" i="16"/>
  <c r="K42" i="16"/>
  <c r="K41" i="16"/>
  <c r="K40" i="16"/>
  <c r="K39" i="16"/>
  <c r="K46" i="16"/>
  <c r="K47" i="16"/>
  <c r="K31" i="16"/>
  <c r="K34" i="16"/>
  <c r="K21" i="16"/>
  <c r="K33" i="16"/>
  <c r="K37" i="16"/>
  <c r="K18" i="16"/>
  <c r="K16" i="16"/>
  <c r="K13" i="16"/>
  <c r="K12" i="16"/>
  <c r="K8" i="16"/>
  <c r="K7" i="16"/>
  <c r="K6" i="16"/>
  <c r="K5" i="16"/>
  <c r="K4" i="16"/>
  <c r="K3" i="16"/>
  <c r="K2" i="16"/>
  <c r="Q228" i="3"/>
  <c r="Q227" i="3"/>
  <c r="Q226" i="3"/>
  <c r="Q225" i="3"/>
  <c r="Q224" i="3"/>
  <c r="Q223" i="3"/>
  <c r="Q222" i="3"/>
  <c r="Q221" i="3"/>
  <c r="Q220" i="3"/>
  <c r="Q219" i="3"/>
  <c r="Q218" i="3"/>
  <c r="Q159" i="3"/>
  <c r="Q158" i="3"/>
  <c r="Q157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63" i="3"/>
  <c r="Q62" i="3"/>
  <c r="Q61" i="3"/>
  <c r="Q60" i="3"/>
  <c r="Q59" i="3"/>
  <c r="Q17" i="3"/>
  <c r="Q16" i="3"/>
  <c r="Q15" i="3"/>
  <c r="Q14" i="3"/>
  <c r="Q13" i="3"/>
  <c r="Q12" i="3"/>
  <c r="Q11" i="3"/>
  <c r="Q10" i="3"/>
  <c r="Q9" i="3"/>
  <c r="K89" i="16" l="1"/>
  <c r="K148" i="16"/>
  <c r="K38" i="16"/>
  <c r="K82" i="16"/>
  <c r="K73" i="16"/>
  <c r="K36" i="16"/>
  <c r="K50" i="16"/>
  <c r="K109" i="16"/>
  <c r="K206" i="16"/>
  <c r="K57" i="16"/>
  <c r="K75" i="16"/>
  <c r="K25" i="16"/>
  <c r="K103" i="16"/>
  <c r="K64" i="16"/>
  <c r="K113" i="16"/>
  <c r="K78" i="16"/>
  <c r="K102" i="16"/>
  <c r="K161" i="16"/>
  <c r="K22" i="16"/>
  <c r="K168" i="16"/>
  <c r="K198" i="16"/>
  <c r="K207" i="16"/>
  <c r="K92" i="16"/>
  <c r="K98" i="16"/>
  <c r="K153" i="16"/>
  <c r="K209" i="16"/>
  <c r="K202" i="16"/>
  <c r="K91" i="16"/>
  <c r="K147" i="16"/>
  <c r="K35" i="16"/>
  <c r="K105" i="16"/>
  <c r="K72" i="16"/>
  <c r="K106" i="16"/>
  <c r="K142" i="16"/>
  <c r="K154" i="16"/>
  <c r="K190" i="16"/>
  <c r="K201" i="16"/>
  <c r="K66" i="16"/>
  <c r="K68" i="16"/>
  <c r="K53" i="16"/>
  <c r="K76" i="16"/>
  <c r="K86" i="16"/>
  <c r="K19" i="16"/>
  <c r="K95" i="16"/>
  <c r="K195" i="16"/>
  <c r="K70" i="16"/>
  <c r="K59" i="16"/>
  <c r="K96" i="16"/>
  <c r="K191" i="16"/>
  <c r="K79" i="16"/>
  <c r="K83" i="16"/>
  <c r="K205" i="16"/>
  <c r="K80" i="16"/>
  <c r="K141" i="16"/>
  <c r="K156" i="16"/>
  <c r="K199" i="16"/>
  <c r="K29" i="16"/>
  <c r="K107" i="16"/>
  <c r="K143" i="16"/>
  <c r="K189" i="16"/>
  <c r="K48" i="16"/>
  <c r="K51" i="16"/>
  <c r="K52" i="16"/>
  <c r="K157" i="16"/>
  <c r="K194" i="16"/>
  <c r="K158" i="16"/>
  <c r="K163" i="16"/>
  <c r="K67" i="16"/>
  <c r="K111" i="16"/>
  <c r="K26" i="16"/>
  <c r="K69" i="16"/>
  <c r="K81" i="16"/>
  <c r="K187" i="16"/>
  <c r="K164" i="16"/>
  <c r="K14" i="16"/>
  <c r="K20" i="16"/>
  <c r="K44" i="16"/>
  <c r="K112" i="16"/>
  <c r="K149" i="16"/>
  <c r="K27" i="16"/>
  <c r="K175" i="16"/>
  <c r="K15" i="16"/>
  <c r="K162" i="16"/>
  <c r="K93" i="16"/>
  <c r="K65" i="16"/>
  <c r="K144" i="16"/>
  <c r="K60" i="16"/>
  <c r="K74" i="16"/>
  <c r="K192" i="16"/>
  <c r="K87" i="16"/>
  <c r="K23" i="16"/>
  <c r="K28" i="16"/>
  <c r="K61" i="16"/>
  <c r="K172" i="16"/>
  <c r="K184" i="16"/>
  <c r="K165" i="16"/>
  <c r="K71" i="16"/>
  <c r="K145" i="16"/>
  <c r="K166" i="16"/>
  <c r="K58" i="16"/>
  <c r="K110" i="16"/>
  <c r="K99" i="16"/>
  <c r="K24" i="16"/>
  <c r="K100" i="16"/>
  <c r="K146" i="16"/>
  <c r="K104" i="16"/>
  <c r="K200" i="16"/>
  <c r="K108" i="16"/>
  <c r="K90" i="16"/>
  <c r="K54" i="16"/>
  <c r="K155" i="16"/>
  <c r="K203" i="16"/>
  <c r="K17" i="16"/>
  <c r="K32" i="16"/>
  <c r="K30" i="16"/>
  <c r="K45" i="16"/>
  <c r="K84" i="16"/>
  <c r="O182" i="3"/>
  <c r="Q182" i="3" s="1"/>
  <c r="O181" i="3"/>
  <c r="Q181" i="3" s="1"/>
  <c r="O180" i="3"/>
  <c r="Q180" i="3" s="1"/>
  <c r="O179" i="3"/>
  <c r="Q179" i="3" s="1"/>
  <c r="O178" i="3"/>
  <c r="Q178" i="3" s="1"/>
  <c r="O177" i="3"/>
  <c r="Q177" i="3" s="1"/>
  <c r="O176" i="3"/>
  <c r="Q176" i="3" s="1"/>
  <c r="O175" i="3"/>
  <c r="Q175" i="3" s="1"/>
  <c r="O174" i="3"/>
  <c r="Q174" i="3" s="1"/>
  <c r="O173" i="3"/>
  <c r="Q173" i="3" s="1"/>
  <c r="O172" i="3"/>
  <c r="Q172" i="3" s="1"/>
  <c r="O171" i="3"/>
  <c r="Q171" i="3" s="1"/>
  <c r="O170" i="3"/>
  <c r="Q170" i="3" s="1"/>
  <c r="O169" i="3"/>
  <c r="Q169" i="3" s="1"/>
  <c r="O168" i="3"/>
  <c r="Q168" i="3" s="1"/>
  <c r="O167" i="3"/>
  <c r="Q167" i="3" s="1"/>
  <c r="O166" i="3"/>
  <c r="Q166" i="3" s="1"/>
  <c r="O165" i="3"/>
  <c r="Q165" i="3" s="1"/>
  <c r="O164" i="3"/>
  <c r="Q164" i="3" s="1"/>
  <c r="O163" i="3"/>
  <c r="Q163" i="3" s="1"/>
  <c r="O162" i="3"/>
  <c r="Q162" i="3" s="1"/>
  <c r="O161" i="3"/>
  <c r="Q161" i="3" s="1"/>
  <c r="O160" i="3"/>
  <c r="Q160" i="3" s="1"/>
  <c r="R159" i="3"/>
  <c r="R158" i="3"/>
  <c r="R157" i="3"/>
  <c r="N100" i="3"/>
  <c r="O100" i="3" s="1"/>
  <c r="Q100" i="3" s="1"/>
  <c r="N99" i="3"/>
  <c r="O99" i="3" s="1"/>
  <c r="Q99" i="3" s="1"/>
  <c r="N87" i="3"/>
  <c r="O87" i="3" s="1"/>
  <c r="Q87" i="3" s="1"/>
  <c r="N86" i="3"/>
  <c r="O86" i="3" s="1"/>
  <c r="Q86" i="3" s="1"/>
  <c r="N186" i="3"/>
  <c r="N185" i="3"/>
  <c r="N184" i="3"/>
  <c r="N183" i="3"/>
  <c r="O183" i="3" s="1"/>
  <c r="Q183" i="3" s="1"/>
  <c r="N160" i="3"/>
  <c r="N156" i="3"/>
  <c r="O156" i="3" s="1"/>
  <c r="Q156" i="3" s="1"/>
  <c r="N155" i="3"/>
  <c r="O155" i="3" s="1"/>
  <c r="Q155" i="3" s="1"/>
  <c r="N154" i="3"/>
  <c r="O154" i="3" s="1"/>
  <c r="Q154" i="3" s="1"/>
  <c r="H159" i="3"/>
  <c r="H158" i="3"/>
  <c r="H157" i="3"/>
  <c r="H156" i="3"/>
  <c r="H155" i="3"/>
  <c r="H154" i="3"/>
  <c r="P157" i="3" l="1"/>
  <c r="P158" i="3"/>
  <c r="P159" i="3"/>
  <c r="R154" i="3"/>
  <c r="P154" i="3"/>
  <c r="P155" i="3"/>
  <c r="R155" i="3"/>
  <c r="R156" i="3"/>
  <c r="P156" i="3"/>
  <c r="P143" i="3" l="1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R118" i="3"/>
  <c r="R126" i="3" l="1"/>
  <c r="R127" i="3"/>
  <c r="R128" i="3"/>
  <c r="R129" i="3"/>
  <c r="R131" i="3"/>
  <c r="R138" i="3"/>
  <c r="R139" i="3"/>
  <c r="R140" i="3"/>
  <c r="R141" i="3"/>
  <c r="R142" i="3"/>
  <c r="R143" i="3"/>
  <c r="P118" i="3"/>
  <c r="R132" i="3"/>
  <c r="R123" i="3"/>
  <c r="R124" i="3"/>
  <c r="R125" i="3"/>
  <c r="R130" i="3"/>
  <c r="R133" i="3"/>
  <c r="R119" i="3"/>
  <c r="R134" i="3"/>
  <c r="R120" i="3"/>
  <c r="R135" i="3"/>
  <c r="R121" i="3"/>
  <c r="R136" i="3"/>
  <c r="R122" i="3"/>
  <c r="R137" i="3"/>
  <c r="R221" i="3" l="1"/>
  <c r="R222" i="3"/>
  <c r="R223" i="3"/>
  <c r="R218" i="3"/>
  <c r="R219" i="3"/>
  <c r="R220" i="3"/>
  <c r="R224" i="3"/>
  <c r="R225" i="3"/>
  <c r="R226" i="3"/>
  <c r="R227" i="3"/>
  <c r="R228" i="3"/>
  <c r="R186" i="3"/>
  <c r="R185" i="3"/>
  <c r="R184" i="3"/>
  <c r="R183" i="3"/>
  <c r="R17" i="3"/>
  <c r="R16" i="3"/>
  <c r="R160" i="3"/>
  <c r="R100" i="3"/>
  <c r="R99" i="3"/>
  <c r="R87" i="3"/>
  <c r="R86" i="3"/>
  <c r="R63" i="3"/>
  <c r="R62" i="3"/>
  <c r="R61" i="3"/>
  <c r="R60" i="3"/>
  <c r="R59" i="3"/>
  <c r="R13" i="3"/>
  <c r="R12" i="3"/>
  <c r="N217" i="3"/>
  <c r="N216" i="3"/>
  <c r="N213" i="3"/>
  <c r="N212" i="3"/>
  <c r="N215" i="3"/>
  <c r="N214" i="3"/>
  <c r="N211" i="3"/>
  <c r="N210" i="3"/>
  <c r="N209" i="3"/>
  <c r="N208" i="3"/>
  <c r="N207" i="3"/>
  <c r="N206" i="3"/>
  <c r="N197" i="3"/>
  <c r="N196" i="3"/>
  <c r="N195" i="3"/>
  <c r="N194" i="3"/>
  <c r="N193" i="3"/>
  <c r="N192" i="3"/>
  <c r="N191" i="3"/>
  <c r="N190" i="3"/>
  <c r="N189" i="3"/>
  <c r="N188" i="3"/>
  <c r="N187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53" i="3"/>
  <c r="O153" i="3" s="1"/>
  <c r="Q153" i="3" s="1"/>
  <c r="N152" i="3"/>
  <c r="O152" i="3" s="1"/>
  <c r="Q152" i="3" s="1"/>
  <c r="N151" i="3"/>
  <c r="N150" i="3"/>
  <c r="N149" i="3"/>
  <c r="O149" i="3" s="1"/>
  <c r="Q149" i="3" s="1"/>
  <c r="N148" i="3"/>
  <c r="O148" i="3" s="1"/>
  <c r="Q148" i="3" s="1"/>
  <c r="N147" i="3"/>
  <c r="O147" i="3" s="1"/>
  <c r="Q147" i="3" s="1"/>
  <c r="N146" i="3"/>
  <c r="O146" i="3" s="1"/>
  <c r="Q146" i="3" s="1"/>
  <c r="N145" i="3"/>
  <c r="O145" i="3" s="1"/>
  <c r="Q145" i="3" s="1"/>
  <c r="N144" i="3"/>
  <c r="N115" i="3"/>
  <c r="N114" i="3"/>
  <c r="N113" i="3"/>
  <c r="N112" i="3"/>
  <c r="N111" i="3"/>
  <c r="N110" i="3"/>
  <c r="N109" i="3"/>
  <c r="N102" i="3"/>
  <c r="N101" i="3"/>
  <c r="N96" i="3"/>
  <c r="N95" i="3"/>
  <c r="N94" i="3"/>
  <c r="N93" i="3"/>
  <c r="N92" i="3"/>
  <c r="N91" i="3"/>
  <c r="N90" i="3"/>
  <c r="N89" i="3"/>
  <c r="N88" i="3"/>
  <c r="N85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22" i="3"/>
  <c r="N21" i="3"/>
  <c r="N20" i="3"/>
  <c r="N19" i="3"/>
  <c r="N18" i="3"/>
  <c r="R14" i="3"/>
  <c r="O53" i="3" l="1"/>
  <c r="O110" i="3"/>
  <c r="R177" i="3"/>
  <c r="O54" i="3"/>
  <c r="R162" i="3"/>
  <c r="O19" i="3"/>
  <c r="O76" i="3"/>
  <c r="R163" i="3"/>
  <c r="O207" i="3"/>
  <c r="O56" i="3"/>
  <c r="O113" i="3"/>
  <c r="R180" i="3"/>
  <c r="O21" i="3"/>
  <c r="O114" i="3"/>
  <c r="R181" i="3"/>
  <c r="O58" i="3"/>
  <c r="O115" i="3"/>
  <c r="R182" i="3"/>
  <c r="O64" i="3"/>
  <c r="R167" i="3"/>
  <c r="O44" i="3"/>
  <c r="O188" i="3"/>
  <c r="O45" i="3"/>
  <c r="O66" i="3"/>
  <c r="O92" i="3"/>
  <c r="R169" i="3"/>
  <c r="O189" i="3"/>
  <c r="O215" i="3"/>
  <c r="R11" i="3"/>
  <c r="O74" i="3"/>
  <c r="R161" i="3"/>
  <c r="O197" i="3"/>
  <c r="O18" i="3"/>
  <c r="O75" i="3"/>
  <c r="O111" i="3"/>
  <c r="O55" i="3"/>
  <c r="O112" i="3"/>
  <c r="R179" i="3"/>
  <c r="O20" i="3"/>
  <c r="O85" i="3"/>
  <c r="R164" i="3"/>
  <c r="O208" i="3"/>
  <c r="O88" i="3"/>
  <c r="R165" i="3"/>
  <c r="O209" i="3"/>
  <c r="O22" i="3"/>
  <c r="R166" i="3"/>
  <c r="O210" i="3"/>
  <c r="O43" i="3"/>
  <c r="O90" i="3"/>
  <c r="O187" i="3"/>
  <c r="O91" i="3"/>
  <c r="O46" i="3"/>
  <c r="O67" i="3"/>
  <c r="O93" i="3"/>
  <c r="R170" i="3"/>
  <c r="O190" i="3"/>
  <c r="O212" i="3"/>
  <c r="R178" i="3"/>
  <c r="O57" i="3"/>
  <c r="O214" i="3"/>
  <c r="O47" i="3"/>
  <c r="O68" i="3"/>
  <c r="O94" i="3"/>
  <c r="R171" i="3"/>
  <c r="O191" i="3"/>
  <c r="O213" i="3"/>
  <c r="O206" i="3"/>
  <c r="O144" i="3"/>
  <c r="O65" i="3"/>
  <c r="R168" i="3"/>
  <c r="O48" i="3"/>
  <c r="O69" i="3"/>
  <c r="O95" i="3"/>
  <c r="R172" i="3"/>
  <c r="O192" i="3"/>
  <c r="O216" i="3"/>
  <c r="O89" i="3"/>
  <c r="O211" i="3"/>
  <c r="O49" i="3"/>
  <c r="O70" i="3"/>
  <c r="O96" i="3"/>
  <c r="O150" i="3"/>
  <c r="R173" i="3"/>
  <c r="O193" i="3"/>
  <c r="O217" i="3"/>
  <c r="R15" i="3"/>
  <c r="O50" i="3"/>
  <c r="O71" i="3"/>
  <c r="O101" i="3"/>
  <c r="O151" i="3"/>
  <c r="R174" i="3"/>
  <c r="O194" i="3"/>
  <c r="R9" i="3"/>
  <c r="O51" i="3"/>
  <c r="O72" i="3"/>
  <c r="O102" i="3"/>
  <c r="R175" i="3"/>
  <c r="O195" i="3"/>
  <c r="R10" i="3"/>
  <c r="O52" i="3"/>
  <c r="O73" i="3"/>
  <c r="O109" i="3"/>
  <c r="R176" i="3"/>
  <c r="O196" i="3"/>
  <c r="R146" i="3"/>
  <c r="R147" i="3"/>
  <c r="R148" i="3"/>
  <c r="R149" i="3"/>
  <c r="R145" i="3"/>
  <c r="R152" i="3"/>
  <c r="R153" i="3"/>
  <c r="P17" i="3"/>
  <c r="P16" i="3"/>
  <c r="P178" i="3"/>
  <c r="P177" i="3"/>
  <c r="P175" i="3"/>
  <c r="P164" i="3"/>
  <c r="P100" i="3"/>
  <c r="P99" i="3"/>
  <c r="P86" i="3"/>
  <c r="P63" i="3"/>
  <c r="P62" i="3"/>
  <c r="P60" i="3"/>
  <c r="P13" i="3"/>
  <c r="P12" i="3"/>
  <c r="P184" i="3"/>
  <c r="P183" i="3"/>
  <c r="P152" i="3"/>
  <c r="P14" i="3"/>
  <c r="M23" i="3"/>
  <c r="M24" i="3"/>
  <c r="N25" i="3"/>
  <c r="O25" i="3" s="1"/>
  <c r="Q25" i="3" s="1"/>
  <c r="N26" i="3"/>
  <c r="O26" i="3" s="1"/>
  <c r="Q26" i="3" s="1"/>
  <c r="N27" i="3"/>
  <c r="O27" i="3" s="1"/>
  <c r="Q27" i="3" s="1"/>
  <c r="N28" i="3"/>
  <c r="O28" i="3" s="1"/>
  <c r="Q28" i="3" s="1"/>
  <c r="N29" i="3"/>
  <c r="O29" i="3" s="1"/>
  <c r="Q29" i="3" s="1"/>
  <c r="N30" i="3"/>
  <c r="O30" i="3" s="1"/>
  <c r="Q30" i="3" s="1"/>
  <c r="N31" i="3"/>
  <c r="O31" i="3" s="1"/>
  <c r="Q31" i="3" s="1"/>
  <c r="N32" i="3"/>
  <c r="O32" i="3" s="1"/>
  <c r="Q32" i="3" s="1"/>
  <c r="N33" i="3"/>
  <c r="O33" i="3" s="1"/>
  <c r="Q33" i="3" s="1"/>
  <c r="N34" i="3"/>
  <c r="O34" i="3" s="1"/>
  <c r="Q34" i="3" s="1"/>
  <c r="N35" i="3"/>
  <c r="O35" i="3" s="1"/>
  <c r="Q35" i="3" s="1"/>
  <c r="N36" i="3"/>
  <c r="O36" i="3" s="1"/>
  <c r="Q36" i="3" s="1"/>
  <c r="N37" i="3"/>
  <c r="O37" i="3" s="1"/>
  <c r="Q37" i="3" s="1"/>
  <c r="N38" i="3"/>
  <c r="O38" i="3" s="1"/>
  <c r="Q38" i="3" s="1"/>
  <c r="N39" i="3"/>
  <c r="O39" i="3" s="1"/>
  <c r="Q39" i="3" s="1"/>
  <c r="N40" i="3"/>
  <c r="O40" i="3" s="1"/>
  <c r="Q40" i="3" s="1"/>
  <c r="N41" i="3"/>
  <c r="O41" i="3" s="1"/>
  <c r="Q41" i="3" s="1"/>
  <c r="N42" i="3"/>
  <c r="O42" i="3" s="1"/>
  <c r="Q42" i="3" s="1"/>
  <c r="N77" i="3"/>
  <c r="O77" i="3" s="1"/>
  <c r="Q77" i="3" s="1"/>
  <c r="N78" i="3"/>
  <c r="O78" i="3" s="1"/>
  <c r="Q78" i="3" s="1"/>
  <c r="N79" i="3"/>
  <c r="O79" i="3" s="1"/>
  <c r="Q79" i="3" s="1"/>
  <c r="N80" i="3"/>
  <c r="O80" i="3" s="1"/>
  <c r="Q80" i="3" s="1"/>
  <c r="N81" i="3"/>
  <c r="O81" i="3" s="1"/>
  <c r="Q81" i="3" s="1"/>
  <c r="N82" i="3"/>
  <c r="O82" i="3" s="1"/>
  <c r="Q82" i="3" s="1"/>
  <c r="N83" i="3"/>
  <c r="O83" i="3" s="1"/>
  <c r="Q83" i="3" s="1"/>
  <c r="N84" i="3"/>
  <c r="O84" i="3" s="1"/>
  <c r="Q84" i="3" s="1"/>
  <c r="M97" i="3"/>
  <c r="M98" i="3"/>
  <c r="N103" i="3"/>
  <c r="O103" i="3" s="1"/>
  <c r="Q103" i="3" s="1"/>
  <c r="N104" i="3"/>
  <c r="O104" i="3" s="1"/>
  <c r="Q104" i="3" s="1"/>
  <c r="M105" i="3"/>
  <c r="M106" i="3"/>
  <c r="N107" i="3"/>
  <c r="O107" i="3" s="1"/>
  <c r="Q107" i="3" s="1"/>
  <c r="N108" i="3"/>
  <c r="O108" i="3" s="1"/>
  <c r="Q108" i="3" s="1"/>
  <c r="N116" i="3"/>
  <c r="O116" i="3" s="1"/>
  <c r="Q116" i="3" s="1"/>
  <c r="N117" i="3"/>
  <c r="O117" i="3" s="1"/>
  <c r="Q117" i="3" s="1"/>
  <c r="N198" i="3"/>
  <c r="O198" i="3" s="1"/>
  <c r="Q198" i="3" s="1"/>
  <c r="N199" i="3"/>
  <c r="O199" i="3" s="1"/>
  <c r="Q199" i="3" s="1"/>
  <c r="N200" i="3"/>
  <c r="O200" i="3" s="1"/>
  <c r="Q200" i="3" s="1"/>
  <c r="N201" i="3"/>
  <c r="O201" i="3" s="1"/>
  <c r="Q201" i="3" s="1"/>
  <c r="N204" i="3"/>
  <c r="O204" i="3" s="1"/>
  <c r="Q204" i="3" s="1"/>
  <c r="P223" i="3"/>
  <c r="P222" i="3"/>
  <c r="P221" i="3"/>
  <c r="P218" i="3"/>
  <c r="P219" i="3"/>
  <c r="P220" i="3"/>
  <c r="P224" i="3"/>
  <c r="P225" i="3"/>
  <c r="P226" i="3"/>
  <c r="P227" i="3"/>
  <c r="P228" i="3"/>
  <c r="Q94" i="3" l="1"/>
  <c r="R94" i="3" s="1"/>
  <c r="Q56" i="3"/>
  <c r="R56" i="3" s="1"/>
  <c r="Q197" i="3"/>
  <c r="R197" i="3" s="1"/>
  <c r="Q211" i="3"/>
  <c r="R211" i="3" s="1"/>
  <c r="Q47" i="3"/>
  <c r="R47" i="3" s="1"/>
  <c r="Q74" i="3"/>
  <c r="R74" i="3" s="1"/>
  <c r="Q21" i="3"/>
  <c r="R21" i="3" s="1"/>
  <c r="Q57" i="3"/>
  <c r="R57" i="3" s="1"/>
  <c r="Q215" i="3"/>
  <c r="R215" i="3" s="1"/>
  <c r="Q189" i="3"/>
  <c r="R189" i="3" s="1"/>
  <c r="Q101" i="3"/>
  <c r="R101" i="3" s="1"/>
  <c r="Q208" i="3"/>
  <c r="R208" i="3" s="1"/>
  <c r="Q92" i="3"/>
  <c r="R92" i="3" s="1"/>
  <c r="Q48" i="3"/>
  <c r="R48" i="3" s="1"/>
  <c r="Q66" i="3"/>
  <c r="R66" i="3" s="1"/>
  <c r="Q109" i="3"/>
  <c r="R109" i="3" s="1"/>
  <c r="Q93" i="3"/>
  <c r="R93" i="3" s="1"/>
  <c r="Q76" i="3"/>
  <c r="R76" i="3" s="1"/>
  <c r="Q73" i="3"/>
  <c r="R73" i="3" s="1"/>
  <c r="P67" i="3"/>
  <c r="Q67" i="3"/>
  <c r="Q188" i="3"/>
  <c r="R188" i="3" s="1"/>
  <c r="Q52" i="3"/>
  <c r="R52" i="3" s="1"/>
  <c r="P206" i="3"/>
  <c r="Q206" i="3"/>
  <c r="R206" i="3" s="1"/>
  <c r="Q91" i="3"/>
  <c r="R91" i="3" s="1"/>
  <c r="Q55" i="3"/>
  <c r="R55" i="3" s="1"/>
  <c r="P195" i="3"/>
  <c r="Q195" i="3"/>
  <c r="R195" i="3" s="1"/>
  <c r="Q150" i="3"/>
  <c r="R150" i="3" s="1"/>
  <c r="Q213" i="3"/>
  <c r="R213" i="3" s="1"/>
  <c r="Q187" i="3"/>
  <c r="R187" i="3" s="1"/>
  <c r="Q111" i="3"/>
  <c r="R111" i="3" s="1"/>
  <c r="Q64" i="3"/>
  <c r="R64" i="3" s="1"/>
  <c r="Q49" i="3"/>
  <c r="R49" i="3" s="1"/>
  <c r="P210" i="3"/>
  <c r="Q210" i="3"/>
  <c r="Q51" i="3"/>
  <c r="R51" i="3" s="1"/>
  <c r="P22" i="3"/>
  <c r="Q22" i="3"/>
  <c r="R22" i="3" s="1"/>
  <c r="Q194" i="3"/>
  <c r="R194" i="3" s="1"/>
  <c r="Q151" i="3"/>
  <c r="R151" i="3" s="1"/>
  <c r="Q113" i="3"/>
  <c r="R113" i="3" s="1"/>
  <c r="Q95" i="3"/>
  <c r="R95" i="3" s="1"/>
  <c r="Q207" i="3"/>
  <c r="R207" i="3" s="1"/>
  <c r="Q85" i="3"/>
  <c r="R85" i="3" s="1"/>
  <c r="Q45" i="3"/>
  <c r="R45" i="3" s="1"/>
  <c r="P217" i="3"/>
  <c r="Q217" i="3"/>
  <c r="Q144" i="3"/>
  <c r="R144" i="3" s="1"/>
  <c r="Q44" i="3"/>
  <c r="R44" i="3" s="1"/>
  <c r="Q96" i="3"/>
  <c r="R96" i="3" s="1"/>
  <c r="Q191" i="3"/>
  <c r="R191" i="3" s="1"/>
  <c r="Q90" i="3"/>
  <c r="R90" i="3" s="1"/>
  <c r="Q75" i="3"/>
  <c r="R75" i="3" s="1"/>
  <c r="Q110" i="3"/>
  <c r="R110" i="3" s="1"/>
  <c r="Q72" i="3"/>
  <c r="R72" i="3" s="1"/>
  <c r="Q58" i="3"/>
  <c r="R58" i="3" s="1"/>
  <c r="Q68" i="3"/>
  <c r="R68" i="3" s="1"/>
  <c r="Q89" i="3"/>
  <c r="R89" i="3" s="1"/>
  <c r="Q114" i="3"/>
  <c r="R114" i="3" s="1"/>
  <c r="Q216" i="3"/>
  <c r="R216" i="3" s="1"/>
  <c r="Q214" i="3"/>
  <c r="R214" i="3" s="1"/>
  <c r="Q209" i="3"/>
  <c r="R209" i="3" s="1"/>
  <c r="Q192" i="3"/>
  <c r="R192" i="3" s="1"/>
  <c r="Q88" i="3"/>
  <c r="R88" i="3" s="1"/>
  <c r="Q212" i="3"/>
  <c r="R212" i="3" s="1"/>
  <c r="Q196" i="3"/>
  <c r="R196" i="3" s="1"/>
  <c r="Q71" i="3"/>
  <c r="R71" i="3" s="1"/>
  <c r="Q69" i="3"/>
  <c r="R69" i="3" s="1"/>
  <c r="Q190" i="3"/>
  <c r="R190" i="3" s="1"/>
  <c r="Q50" i="3"/>
  <c r="R50" i="3" s="1"/>
  <c r="Q20" i="3"/>
  <c r="R20" i="3" s="1"/>
  <c r="Q65" i="3"/>
  <c r="R65" i="3" s="1"/>
  <c r="Q19" i="3"/>
  <c r="R19" i="3" s="1"/>
  <c r="Q193" i="3"/>
  <c r="R193" i="3" s="1"/>
  <c r="Q46" i="3"/>
  <c r="R46" i="3" s="1"/>
  <c r="Q112" i="3"/>
  <c r="R112" i="3" s="1"/>
  <c r="Q54" i="3"/>
  <c r="R54" i="3" s="1"/>
  <c r="Q102" i="3"/>
  <c r="R102" i="3" s="1"/>
  <c r="Q70" i="3"/>
  <c r="R70" i="3" s="1"/>
  <c r="Q43" i="3"/>
  <c r="R43" i="3" s="1"/>
  <c r="Q18" i="3"/>
  <c r="R18" i="3" s="1"/>
  <c r="Q115" i="3"/>
  <c r="R115" i="3" s="1"/>
  <c r="Q53" i="3"/>
  <c r="R53" i="3" s="1"/>
  <c r="P150" i="3"/>
  <c r="P92" i="3"/>
  <c r="P43" i="3"/>
  <c r="P211" i="3"/>
  <c r="P208" i="3"/>
  <c r="P213" i="3"/>
  <c r="P216" i="3"/>
  <c r="R210" i="3"/>
  <c r="P15" i="3"/>
  <c r="P194" i="3"/>
  <c r="R217" i="3"/>
  <c r="R67" i="3"/>
  <c r="P196" i="3"/>
  <c r="P207" i="3"/>
  <c r="N202" i="3"/>
  <c r="O202" i="3" s="1"/>
  <c r="Q202" i="3" s="1"/>
  <c r="N205" i="3"/>
  <c r="O205" i="3" s="1"/>
  <c r="Q205" i="3" s="1"/>
  <c r="N203" i="3"/>
  <c r="O203" i="3" s="1"/>
  <c r="Q203" i="3" s="1"/>
  <c r="R117" i="3"/>
  <c r="R41" i="3"/>
  <c r="R25" i="3"/>
  <c r="N105" i="3"/>
  <c r="O105" i="3" s="1"/>
  <c r="Q105" i="3" s="1"/>
  <c r="R40" i="3"/>
  <c r="N24" i="3"/>
  <c r="R39" i="3"/>
  <c r="N23" i="3"/>
  <c r="O23" i="3" s="1"/>
  <c r="Q23" i="3" s="1"/>
  <c r="N98" i="3"/>
  <c r="O98" i="3" s="1"/>
  <c r="Q98" i="3" s="1"/>
  <c r="N97" i="3"/>
  <c r="O97" i="3" s="1"/>
  <c r="Q97" i="3" s="1"/>
  <c r="R35" i="3"/>
  <c r="R84" i="3"/>
  <c r="R83" i="3"/>
  <c r="R33" i="3"/>
  <c r="R81" i="3"/>
  <c r="R108" i="3"/>
  <c r="N106" i="3"/>
  <c r="O106" i="3" s="1"/>
  <c r="Q106" i="3" s="1"/>
  <c r="R104" i="3"/>
  <c r="R103" i="3"/>
  <c r="R38" i="3"/>
  <c r="R28" i="3"/>
  <c r="R26" i="3"/>
  <c r="R37" i="3"/>
  <c r="R29" i="3"/>
  <c r="R27" i="3"/>
  <c r="R36" i="3"/>
  <c r="R116" i="3"/>
  <c r="R107" i="3"/>
  <c r="R199" i="3"/>
  <c r="R204" i="3"/>
  <c r="R34" i="3"/>
  <c r="R200" i="3"/>
  <c r="R32" i="3"/>
  <c r="R198" i="3"/>
  <c r="R80" i="3"/>
  <c r="P112" i="3"/>
  <c r="P101" i="3"/>
  <c r="P110" i="3"/>
  <c r="P111" i="3"/>
  <c r="P169" i="3"/>
  <c r="P102" i="3"/>
  <c r="P93" i="3"/>
  <c r="P46" i="3"/>
  <c r="P70" i="3"/>
  <c r="P165" i="3"/>
  <c r="P74" i="3"/>
  <c r="P167" i="3"/>
  <c r="P69" i="3"/>
  <c r="P115" i="3"/>
  <c r="P72" i="3"/>
  <c r="P166" i="3"/>
  <c r="P56" i="3"/>
  <c r="P146" i="3"/>
  <c r="P181" i="3"/>
  <c r="P71" i="3"/>
  <c r="P144" i="3"/>
  <c r="P57" i="3"/>
  <c r="P182" i="3"/>
  <c r="P53" i="3"/>
  <c r="P179" i="3"/>
  <c r="P58" i="3"/>
  <c r="P113" i="3"/>
  <c r="P45" i="3"/>
  <c r="P61" i="3"/>
  <c r="P95" i="3"/>
  <c r="P21" i="3"/>
  <c r="P96" i="3"/>
  <c r="P49" i="3"/>
  <c r="P214" i="3"/>
  <c r="P64" i="3"/>
  <c r="P50" i="3"/>
  <c r="P66" i="3"/>
  <c r="P215" i="3"/>
  <c r="P87" i="3"/>
  <c r="P48" i="3"/>
  <c r="P212" i="3"/>
  <c r="P185" i="3"/>
  <c r="P65" i="3"/>
  <c r="P149" i="3"/>
  <c r="P160" i="3"/>
  <c r="P51" i="3"/>
  <c r="P171" i="3"/>
  <c r="P170" i="3"/>
  <c r="P176" i="3"/>
  <c r="P20" i="3"/>
  <c r="P19" i="3"/>
  <c r="P18" i="3"/>
  <c r="P11" i="3"/>
  <c r="P52" i="3"/>
  <c r="P85" i="3"/>
  <c r="P55" i="3"/>
  <c r="P54" i="3"/>
  <c r="P174" i="3"/>
  <c r="P10" i="3"/>
  <c r="P173" i="3"/>
  <c r="P9" i="3"/>
  <c r="P172" i="3"/>
  <c r="P151" i="3"/>
  <c r="P114" i="3"/>
  <c r="P180" i="3"/>
  <c r="P168" i="3"/>
  <c r="P209" i="3"/>
  <c r="P162" i="3"/>
  <c r="P161" i="3"/>
  <c r="P68" i="3"/>
  <c r="P88" i="3"/>
  <c r="P44" i="3"/>
  <c r="P163" i="3"/>
  <c r="P197" i="3"/>
  <c r="P193" i="3"/>
  <c r="P192" i="3"/>
  <c r="P191" i="3"/>
  <c r="P190" i="3"/>
  <c r="P94" i="3"/>
  <c r="P76" i="3"/>
  <c r="P91" i="3"/>
  <c r="P75" i="3"/>
  <c r="P109" i="3"/>
  <c r="P90" i="3"/>
  <c r="P89" i="3"/>
  <c r="P189" i="3"/>
  <c r="P73" i="3"/>
  <c r="P188" i="3"/>
  <c r="P187" i="3"/>
  <c r="P47" i="3"/>
  <c r="P59" i="3"/>
  <c r="P186" i="3"/>
  <c r="P153" i="3"/>
  <c r="P145" i="3"/>
  <c r="P147" i="3"/>
  <c r="P148" i="3"/>
  <c r="O24" i="3" l="1"/>
  <c r="R203" i="3"/>
  <c r="P203" i="3"/>
  <c r="R205" i="3"/>
  <c r="P205" i="3"/>
  <c r="R202" i="3"/>
  <c r="P202" i="3"/>
  <c r="P39" i="3"/>
  <c r="P33" i="3"/>
  <c r="P40" i="3"/>
  <c r="P116" i="3"/>
  <c r="P200" i="3"/>
  <c r="P34" i="3"/>
  <c r="P41" i="3"/>
  <c r="P25" i="3"/>
  <c r="P117" i="3"/>
  <c r="P84" i="3"/>
  <c r="P83" i="3"/>
  <c r="P81" i="3"/>
  <c r="P199" i="3"/>
  <c r="P77" i="3"/>
  <c r="R77" i="3"/>
  <c r="P30" i="3"/>
  <c r="R30" i="3"/>
  <c r="P78" i="3"/>
  <c r="R78" i="3"/>
  <c r="P105" i="3"/>
  <c r="R105" i="3"/>
  <c r="P79" i="3"/>
  <c r="R79" i="3"/>
  <c r="P31" i="3"/>
  <c r="R31" i="3"/>
  <c r="P37" i="3"/>
  <c r="P98" i="3"/>
  <c r="R98" i="3"/>
  <c r="P103" i="3"/>
  <c r="P42" i="3"/>
  <c r="R42" i="3"/>
  <c r="P97" i="3"/>
  <c r="R97" i="3"/>
  <c r="P23" i="3"/>
  <c r="R23" i="3"/>
  <c r="P198" i="3"/>
  <c r="P204" i="3"/>
  <c r="P201" i="3"/>
  <c r="R201" i="3"/>
  <c r="P106" i="3"/>
  <c r="R106" i="3"/>
  <c r="P82" i="3"/>
  <c r="R82" i="3"/>
  <c r="P32" i="3"/>
  <c r="P26" i="3"/>
  <c r="P35" i="3"/>
  <c r="P107" i="3"/>
  <c r="P28" i="3"/>
  <c r="P38" i="3"/>
  <c r="P36" i="3"/>
  <c r="P29" i="3"/>
  <c r="P27" i="3"/>
  <c r="P108" i="3"/>
  <c r="P104" i="3"/>
  <c r="P80" i="3"/>
  <c r="Q24" i="3" l="1"/>
  <c r="R24" i="3" s="1"/>
  <c r="P24" i="3"/>
</calcChain>
</file>

<file path=xl/sharedStrings.xml><?xml version="1.0" encoding="utf-8"?>
<sst xmlns="http://schemas.openxmlformats.org/spreadsheetml/2006/main" count="1994" uniqueCount="494">
  <si>
    <t>품목명</t>
  </si>
  <si>
    <t>년도</t>
  </si>
  <si>
    <t>OD231BPT02</t>
  </si>
  <si>
    <t>10부 면스판 팬츠</t>
  </si>
  <si>
    <t>OD243SST01</t>
  </si>
  <si>
    <t>3PCS 맨투맨 세트</t>
  </si>
  <si>
    <t>OD243SST02</t>
  </si>
  <si>
    <t>3PCS 베스트 세트</t>
  </si>
  <si>
    <t>OD262BHP01</t>
  </si>
  <si>
    <t>7부 우븐팬츠</t>
  </si>
  <si>
    <t>OD267BPT16</t>
  </si>
  <si>
    <t>OD233BPT08</t>
  </si>
  <si>
    <t>OD233BPT14</t>
  </si>
  <si>
    <t>그래픽 라글란 티셔츠</t>
  </si>
  <si>
    <t>OD261ILS02</t>
  </si>
  <si>
    <t>OD263ILS02</t>
  </si>
  <si>
    <t>단스트라이프 티셔츠</t>
  </si>
  <si>
    <t>OD251BDP10</t>
  </si>
  <si>
    <t>데님 스트레이트 팬츠</t>
  </si>
  <si>
    <t>OD243OJK07</t>
  </si>
  <si>
    <t>데님 워크자켓</t>
  </si>
  <si>
    <t>OD253ILS07</t>
  </si>
  <si>
    <t>라글란 그래픽 티셔츠</t>
  </si>
  <si>
    <t>OD263ILS08</t>
  </si>
  <si>
    <t>OD263IHD01</t>
  </si>
  <si>
    <t>레이어드 후드티</t>
  </si>
  <si>
    <t>멀티 스트라이프 티셔츠</t>
  </si>
  <si>
    <t>OD261ILS03</t>
  </si>
  <si>
    <t>OD263ILC07</t>
  </si>
  <si>
    <t>멀티스트라이프 럭비티셔츠</t>
  </si>
  <si>
    <t>미니 크로스백</t>
  </si>
  <si>
    <t>OD250AAB01</t>
  </si>
  <si>
    <t>OD261IMM08</t>
  </si>
  <si>
    <t>미니쮸리 백 그래픽 맨투맨</t>
  </si>
  <si>
    <t>OD243IMM10</t>
  </si>
  <si>
    <t>바시티 맨투맨</t>
  </si>
  <si>
    <t>바캉스 백 그래픽 반팔 티셔츠</t>
  </si>
  <si>
    <t>OD262ISS45</t>
  </si>
  <si>
    <t>반집업 그래픽 맨투맨</t>
  </si>
  <si>
    <t>OD261IZM09</t>
  </si>
  <si>
    <t>OD253IZM14</t>
  </si>
  <si>
    <t>반집업 스몰그래픽 맨투맨</t>
  </si>
  <si>
    <t>OD263ILS03</t>
  </si>
  <si>
    <t>배색 레이어드 티셔츠</t>
  </si>
  <si>
    <t>OD263IMM03</t>
  </si>
  <si>
    <t>백 그래픽 맨투맨</t>
  </si>
  <si>
    <t>백 그래픽 반팔티셔츠</t>
  </si>
  <si>
    <t>OD262ISS46</t>
  </si>
  <si>
    <t>OD251IMM08</t>
  </si>
  <si>
    <t>백면 캠핑 그래픽 맨투맨</t>
  </si>
  <si>
    <t>OD261IMM07</t>
  </si>
  <si>
    <t>베어 그래픽 맨투맨</t>
  </si>
  <si>
    <t>OD263ILS09</t>
  </si>
  <si>
    <t>베어 백그래픽 티셔츠</t>
  </si>
  <si>
    <t>OD253IMM12</t>
  </si>
  <si>
    <t>베어 패밀리 맨투맨</t>
  </si>
  <si>
    <t>OD233OJK03</t>
  </si>
  <si>
    <t>부클 쭈리 바시티 자켓</t>
  </si>
  <si>
    <t>소매 그래픽 티셔츠</t>
  </si>
  <si>
    <t>OD263ILS04</t>
  </si>
  <si>
    <t>OD255AAO02</t>
  </si>
  <si>
    <t>스트라이프 미들삭스</t>
  </si>
  <si>
    <t>아웃도어 그래픽 반팔 티셔츠</t>
  </si>
  <si>
    <t>OD262ISS18</t>
  </si>
  <si>
    <t>OD261ILC05</t>
  </si>
  <si>
    <t>아웃도어 럭비티</t>
  </si>
  <si>
    <t>OD261ILS04</t>
  </si>
  <si>
    <t>아웃도어 립 배색 티셔츠</t>
  </si>
  <si>
    <t>OD245AAB06</t>
  </si>
  <si>
    <t>아웃도어 바디백</t>
  </si>
  <si>
    <t>OD251IMM07</t>
  </si>
  <si>
    <t>아웃도어 백면 그래픽 맨투맨</t>
  </si>
  <si>
    <t>OD250AAO01</t>
  </si>
  <si>
    <t>아웃도어 베이직 크루삭스</t>
  </si>
  <si>
    <t>OD255AAO01</t>
  </si>
  <si>
    <t>OD251BPT07</t>
  </si>
  <si>
    <t>아웃도어 조거 팬츠</t>
  </si>
  <si>
    <t>OD241OJK02</t>
  </si>
  <si>
    <t>아웃포켓 우븐 자켓</t>
  </si>
  <si>
    <t>OD262ISS17</t>
  </si>
  <si>
    <t>어드벤처 그래픽 반팔 티셔츠</t>
  </si>
  <si>
    <t>OD263ILS06</t>
  </si>
  <si>
    <t>어드벤쳐 백그래픽 티셔츠</t>
  </si>
  <si>
    <t>OD253IMM02</t>
  </si>
  <si>
    <t>에센셜 그래픽 맨투맨</t>
  </si>
  <si>
    <t>에센셜 백그래픽 반팔티셔츠</t>
  </si>
  <si>
    <t>OD262ISS42</t>
  </si>
  <si>
    <t>OD253IHD17</t>
  </si>
  <si>
    <t>에센셜 백그래픽 후드티</t>
  </si>
  <si>
    <t>에센셜 아웃도어 반팔티셔츠</t>
  </si>
  <si>
    <t>OD262ISS03</t>
  </si>
  <si>
    <t>에센셜 파노라마 반팔티셔츠</t>
  </si>
  <si>
    <t>OD262ISS44</t>
  </si>
  <si>
    <t>OD243IHD03</t>
  </si>
  <si>
    <t>에센셜 후드</t>
  </si>
  <si>
    <t>에센셜 후드 집업</t>
  </si>
  <si>
    <t>OD253IHZ10</t>
  </si>
  <si>
    <t>OD263IMM72</t>
  </si>
  <si>
    <t>여아 그래픽 크롭 맨투맨</t>
  </si>
  <si>
    <t>OD261BSK72</t>
  </si>
  <si>
    <t>여아 데님 스커트 팬츠</t>
  </si>
  <si>
    <t>OD253IZM73</t>
  </si>
  <si>
    <t>여아 반집업 맨투맨</t>
  </si>
  <si>
    <t>OD263BPT74</t>
  </si>
  <si>
    <t>여아 백그래픽 저지팬츠</t>
  </si>
  <si>
    <t>OD243BPT89</t>
  </si>
  <si>
    <t>여아 세미와이드 팬츠</t>
  </si>
  <si>
    <t>OD251BPT73</t>
  </si>
  <si>
    <t>OD253BPT74</t>
  </si>
  <si>
    <t>OD253IMM74</t>
  </si>
  <si>
    <t>여아 세미크롭 그래픽 맨투맨</t>
  </si>
  <si>
    <t>OD261ILC72</t>
  </si>
  <si>
    <t>여아 세미크롭 럭비티</t>
  </si>
  <si>
    <t>OD243IMM89</t>
  </si>
  <si>
    <t>여아 세미크롭 맨투맨</t>
  </si>
  <si>
    <t>OD251ILS72</t>
  </si>
  <si>
    <t>여아 세미크롭 배색 티셔츠</t>
  </si>
  <si>
    <t>OD251IMM73</t>
  </si>
  <si>
    <t>여아 세미크롭 백그래픽 맨투맨</t>
  </si>
  <si>
    <t>OD261IMM73</t>
  </si>
  <si>
    <t>여아 세미크롭 베어 맨투맨</t>
  </si>
  <si>
    <t>OD243IZM90</t>
  </si>
  <si>
    <t>여아 세미크롭 카라 맨투맨</t>
  </si>
  <si>
    <t>OD261BPT71</t>
  </si>
  <si>
    <t>여아 스커트 팬츠</t>
  </si>
  <si>
    <t>OD263IZM71</t>
  </si>
  <si>
    <t>여아 카라 맨투맨</t>
  </si>
  <si>
    <t>OD251ILC71</t>
  </si>
  <si>
    <t>여아 카라 티셔츠</t>
  </si>
  <si>
    <t>OD263IHD75</t>
  </si>
  <si>
    <t>여아 크롭 후드티셔츠</t>
  </si>
  <si>
    <t>OD251BSK71</t>
  </si>
  <si>
    <t>여아 플리츠 치마바지</t>
  </si>
  <si>
    <t>OD233IOP71</t>
  </si>
  <si>
    <t>여아_반집 스웻 원피스</t>
  </si>
  <si>
    <t>OD253IMM91</t>
  </si>
  <si>
    <t>온전용 그래픽 맨투맨</t>
  </si>
  <si>
    <t>OD253BPT05</t>
  </si>
  <si>
    <t>우븐 세미배기 팬츠</t>
  </si>
  <si>
    <t>OD261BPT01</t>
  </si>
  <si>
    <t>우븐 조거 팬츠</t>
  </si>
  <si>
    <t>OD251BPT02</t>
  </si>
  <si>
    <t>우븐 파라수트 팬츠</t>
  </si>
  <si>
    <t>OD251BPT01</t>
  </si>
  <si>
    <t>우븐 포켓 조거 팬츠</t>
  </si>
  <si>
    <t>OD253IMM11</t>
  </si>
  <si>
    <t>익스플로어 맨투맨</t>
  </si>
  <si>
    <t>OD251IMM06</t>
  </si>
  <si>
    <t>전면 그래픽 맨투맨</t>
  </si>
  <si>
    <t>OD263IMM02</t>
  </si>
  <si>
    <t>OD263ILS05</t>
  </si>
  <si>
    <t>전면 그래픽 티셔츠</t>
  </si>
  <si>
    <t>OD263IHD05</t>
  </si>
  <si>
    <t>전면 그래픽 후드티</t>
  </si>
  <si>
    <t>OD261BPT09</t>
  </si>
  <si>
    <t>쮸리 스트레이트 팬츠</t>
  </si>
  <si>
    <t>OD261BPT07</t>
  </si>
  <si>
    <t>쮸리 카고 조거 팬츠</t>
  </si>
  <si>
    <t>OD251BPT03</t>
  </si>
  <si>
    <t>카고 면스판 팬츠</t>
  </si>
  <si>
    <t>OD263BPT03</t>
  </si>
  <si>
    <t>카고 조거 저지팬츠</t>
  </si>
  <si>
    <t>OD263BPT02</t>
  </si>
  <si>
    <t>커브드 저지팬츠</t>
  </si>
  <si>
    <t>OD245AAO05</t>
  </si>
  <si>
    <t>컬러 블록 스트라이프 삭스</t>
  </si>
  <si>
    <t>OD253IZM13</t>
  </si>
  <si>
    <t>컬러블록 반집업 맨투맨</t>
  </si>
  <si>
    <t>OD255AAB03</t>
  </si>
  <si>
    <t>코듀로이 핸드폰 백</t>
  </si>
  <si>
    <t>OD243BPT08</t>
  </si>
  <si>
    <t>코튼 벌룬 팬츠</t>
  </si>
  <si>
    <t>OD261BPT03</t>
  </si>
  <si>
    <t>트랙 우븐 팬츠</t>
  </si>
  <si>
    <t>OD261OJK03</t>
  </si>
  <si>
    <t>트랙 자켓</t>
  </si>
  <si>
    <t>포켓 반팔티셔츠</t>
  </si>
  <si>
    <t>OD262ISS47</t>
  </si>
  <si>
    <t>포켓 스트레이트 팬츠</t>
  </si>
  <si>
    <t>OD253BPT14</t>
  </si>
  <si>
    <t>OD253BPT13</t>
  </si>
  <si>
    <t>포켓 조거 팬츠</t>
  </si>
  <si>
    <t>OD261BPT02</t>
  </si>
  <si>
    <t>포켓 포인트 우븐 팬츠</t>
  </si>
  <si>
    <t>OD253BPT01</t>
  </si>
  <si>
    <t>피케 스트레이트 팬츠</t>
  </si>
  <si>
    <t>OD253IZM01</t>
  </si>
  <si>
    <t>피케 카라 맨투맨</t>
  </si>
  <si>
    <t>OD261BDP06</t>
  </si>
  <si>
    <t>해지데님 커브드 팬츠</t>
  </si>
  <si>
    <t>시즌</t>
  </si>
  <si>
    <t>ST</t>
  </si>
  <si>
    <t>OD231BPT02_LPU</t>
  </si>
  <si>
    <t>OD233BPT08_PUR</t>
  </si>
  <si>
    <t>OD233BPT14_CHC</t>
  </si>
  <si>
    <t>OD233IOP71_PUR</t>
  </si>
  <si>
    <t>OD233OJK03_NVY</t>
  </si>
  <si>
    <t>OD241OJK02_BEI</t>
  </si>
  <si>
    <t>OD241OJK02_DNY</t>
  </si>
  <si>
    <t>OD243BPT08_NVY</t>
  </si>
  <si>
    <t>OD243BPT89_CRE</t>
  </si>
  <si>
    <t>OD243BPT89_NVY</t>
  </si>
  <si>
    <t>OD243BPT89_PNK</t>
  </si>
  <si>
    <t>OD243IHD03_KHA</t>
  </si>
  <si>
    <t>OD243IHD03_NVY</t>
  </si>
  <si>
    <t>OD243IMM10_CHC</t>
  </si>
  <si>
    <t>OD243IMM10_NVY</t>
  </si>
  <si>
    <t>OD243IMM89_CRE</t>
  </si>
  <si>
    <t>OD243IMM89_NVY</t>
  </si>
  <si>
    <t>OD243IMM89_PNK</t>
  </si>
  <si>
    <t>OD243IZM90_CRE</t>
  </si>
  <si>
    <t>OD243IZM90_NVY</t>
  </si>
  <si>
    <t>OD243OJK07_BLK</t>
  </si>
  <si>
    <t>OD243SST01_LPU</t>
  </si>
  <si>
    <t>OD243SST02_BLK</t>
  </si>
  <si>
    <t>OD243SST02_PNK</t>
  </si>
  <si>
    <t>OD245AAB06_BEI</t>
  </si>
  <si>
    <t>OD245AAB06_BLK</t>
  </si>
  <si>
    <t>OD245AAO05_IVY</t>
  </si>
  <si>
    <t>OD245AAO05_MLG</t>
  </si>
  <si>
    <t>OD245AAO05_NVY</t>
  </si>
  <si>
    <t>OD251BDP10_BLU</t>
  </si>
  <si>
    <t>OD251BDP10_SBL</t>
  </si>
  <si>
    <t>OD251BPT01_BEI</t>
  </si>
  <si>
    <t>OD251BPT01_LKH</t>
  </si>
  <si>
    <t>OD251BPT02_BLK</t>
  </si>
  <si>
    <t>OD251BPT02_LGY</t>
  </si>
  <si>
    <t>OD251BPT03_DBE</t>
  </si>
  <si>
    <t>OD251BPT03_IVY</t>
  </si>
  <si>
    <t>OD251BPT07_LPU</t>
  </si>
  <si>
    <t>OD251BPT73_NVY</t>
  </si>
  <si>
    <t>OD251BPT73_OTM</t>
  </si>
  <si>
    <t>OD251BSK71_NVY</t>
  </si>
  <si>
    <t>OD251BSK71_OTM</t>
  </si>
  <si>
    <t>OD251ILC71_DNY</t>
  </si>
  <si>
    <t>OD251ILC71_IVY</t>
  </si>
  <si>
    <t>OD251ILS72_LPU</t>
  </si>
  <si>
    <t>OD251ILS72_NVY</t>
  </si>
  <si>
    <t>OD251IMM06_CRE</t>
  </si>
  <si>
    <t>OD251IMM06_MWH</t>
  </si>
  <si>
    <t>OD251IMM07_LKH</t>
  </si>
  <si>
    <t>OD251IMM07_LPU</t>
  </si>
  <si>
    <t>OD251IMM08_BLK</t>
  </si>
  <si>
    <t>OD251IMM08_LBL</t>
  </si>
  <si>
    <t>OD251IMM08_MLG</t>
  </si>
  <si>
    <t>OD251IMM73_NVY</t>
  </si>
  <si>
    <t>OD253BPT01_DNY</t>
  </si>
  <si>
    <t>OD253BPT01_MWH</t>
  </si>
  <si>
    <t>OD253BPT05_BEI</t>
  </si>
  <si>
    <t>OD253BPT05_DNY</t>
  </si>
  <si>
    <t>OD253BPT13_KHA</t>
  </si>
  <si>
    <t>OD253BPT13_MLG</t>
  </si>
  <si>
    <t>OD253BPT14_DGY</t>
  </si>
  <si>
    <t>OD253BPT14_MWH</t>
  </si>
  <si>
    <t>OD253BPT14_NVY</t>
  </si>
  <si>
    <t>OD253BPT74_BUG</t>
  </si>
  <si>
    <t>OD253BPT74_OTM</t>
  </si>
  <si>
    <t>OD253IHD17_DNY</t>
  </si>
  <si>
    <t>OD253IHD17_MLG</t>
  </si>
  <si>
    <t>OD253IHZ10_DNY</t>
  </si>
  <si>
    <t>OD253IHZ10_MWH</t>
  </si>
  <si>
    <t>OD253ILS07_DGY</t>
  </si>
  <si>
    <t>OD253ILS07_OLI</t>
  </si>
  <si>
    <t>OD253IMM02_BLK</t>
  </si>
  <si>
    <t>OD253IMM02_MWH</t>
  </si>
  <si>
    <t>OD253IMM02_OTM</t>
  </si>
  <si>
    <t>OD253IMM11_CML</t>
  </si>
  <si>
    <t>OD253IMM11_CRE</t>
  </si>
  <si>
    <t>OD253IMM11_MLG</t>
  </si>
  <si>
    <t>OD253IMM12_KHA</t>
  </si>
  <si>
    <t>OD253IMM12_MWH</t>
  </si>
  <si>
    <t>OD253IMM12_NVY</t>
  </si>
  <si>
    <t>OD253IMM74_OTM</t>
  </si>
  <si>
    <t>OD253IMM74_PNK</t>
  </si>
  <si>
    <t>OD253IMM91_BLK</t>
  </si>
  <si>
    <t>OD253IMM91_MWH</t>
  </si>
  <si>
    <t>OD253IZM01_DNY</t>
  </si>
  <si>
    <t>OD253IZM01_MWH</t>
  </si>
  <si>
    <t>OD253IZM13_KHA</t>
  </si>
  <si>
    <t>OD253IZM13_MLG</t>
  </si>
  <si>
    <t>OD253IZM13_NVY</t>
  </si>
  <si>
    <t>OD253IZM14_DGY</t>
  </si>
  <si>
    <t>OD253IZM14_MWH</t>
  </si>
  <si>
    <t>OD253IZM73_CRE</t>
  </si>
  <si>
    <t>OD253IZM73_PNK</t>
  </si>
  <si>
    <t>OD255AAB03_BEI</t>
  </si>
  <si>
    <t>OD255AAB03_BLK</t>
  </si>
  <si>
    <t>OD255AAO01_BEI</t>
  </si>
  <si>
    <t>OD255AAO01_LKH</t>
  </si>
  <si>
    <t>OD255AAO01_MWH</t>
  </si>
  <si>
    <t>OD255AAO02_BEI</t>
  </si>
  <si>
    <t>OD255AAO02_PNK</t>
  </si>
  <si>
    <t>OD250AAB01_DGY</t>
  </si>
  <si>
    <t>OD250AAB01_NVY</t>
  </si>
  <si>
    <t>OD250AAO01_CRE</t>
  </si>
  <si>
    <t>OD250AAO01_MLG</t>
  </si>
  <si>
    <t>OD250AAO01_WHT</t>
  </si>
  <si>
    <t>OD261BDP06_LBL</t>
  </si>
  <si>
    <t>OD261BPT01_BEI</t>
  </si>
  <si>
    <t>OD261BPT01_DGY</t>
  </si>
  <si>
    <t>OD261BPT02_DGY</t>
  </si>
  <si>
    <t>OD261BPT02_LKH</t>
  </si>
  <si>
    <t>OD261BPT03_GRY</t>
  </si>
  <si>
    <t>OD261BPT03_SBL</t>
  </si>
  <si>
    <t>OD261BPT07_BLK</t>
  </si>
  <si>
    <t>OD261BPT07_DNY</t>
  </si>
  <si>
    <t>OD261BPT07_MWH</t>
  </si>
  <si>
    <t>OD261BPT09_BLK</t>
  </si>
  <si>
    <t>OD261BPT09_MLG</t>
  </si>
  <si>
    <t>OD261BPT71_DNY</t>
  </si>
  <si>
    <t>OD261BPT71_MLG</t>
  </si>
  <si>
    <t>OD261BSK72_LBL</t>
  </si>
  <si>
    <t>OD261ILC05_BLU</t>
  </si>
  <si>
    <t>OD261ILC05_YEL</t>
  </si>
  <si>
    <t>OD261ILC72_DNY</t>
  </si>
  <si>
    <t>OD261ILS02_BLK</t>
  </si>
  <si>
    <t>OD261ILS02_LIM</t>
  </si>
  <si>
    <t>OD261ILS02_NVY</t>
  </si>
  <si>
    <t>OD261ILS03_GRN</t>
  </si>
  <si>
    <t>OD261ILS03_LBL</t>
  </si>
  <si>
    <t>OD261ILS03_LKH</t>
  </si>
  <si>
    <t>OD261ILS04_NVY</t>
  </si>
  <si>
    <t>OD261ILS04_OWH</t>
  </si>
  <si>
    <t>OD261IMM07_DNY</t>
  </si>
  <si>
    <t>OD261IMM07_MWH</t>
  </si>
  <si>
    <t>OD261IMM08_DNY</t>
  </si>
  <si>
    <t>OD261IMM08_MIN</t>
  </si>
  <si>
    <t>OD261IMM08_MLG</t>
  </si>
  <si>
    <t>OD261IMM08_OTM</t>
  </si>
  <si>
    <t>OD261IMM73_CRE</t>
  </si>
  <si>
    <t>OD261IMM73_MWH</t>
  </si>
  <si>
    <t>OD261IZM09_MLG</t>
  </si>
  <si>
    <t>OD261OJK03_GRY</t>
  </si>
  <si>
    <t>OD261OJK03_SBL</t>
  </si>
  <si>
    <t>OD263BPT02_BLK</t>
  </si>
  <si>
    <t>OD263BPT02_LBE</t>
  </si>
  <si>
    <t>OD263BPT02_MLG</t>
  </si>
  <si>
    <t>OD263BPT03_BLK</t>
  </si>
  <si>
    <t>OD263BPT03_MLG</t>
  </si>
  <si>
    <t>OD263BPT03_MWH</t>
  </si>
  <si>
    <t>OD263BPT74_MLG</t>
  </si>
  <si>
    <t>OD263BPT74_OTM</t>
  </si>
  <si>
    <t>OD263IHD01_KHA</t>
  </si>
  <si>
    <t>OD263IHD01_MWH</t>
  </si>
  <si>
    <t>OD263IHD05_BLK</t>
  </si>
  <si>
    <t>OD263IHD05_MLG</t>
  </si>
  <si>
    <t>OD263IHD75_MLG</t>
  </si>
  <si>
    <t>OD263IHD75_OTM</t>
  </si>
  <si>
    <t>OD263ILC07_BLU</t>
  </si>
  <si>
    <t>OD263ILC07_BRN</t>
  </si>
  <si>
    <t>OD263ILS02_DGY</t>
  </si>
  <si>
    <t>OD263ILS02_LKH</t>
  </si>
  <si>
    <t>OD263ILS03_BLK</t>
  </si>
  <si>
    <t>OD263ILS03_BLU</t>
  </si>
  <si>
    <t>OD263ILS04_BLK</t>
  </si>
  <si>
    <t>OD263ILS04_CML</t>
  </si>
  <si>
    <t>OD263ILS04_MLG</t>
  </si>
  <si>
    <t>OD263ILS04_OWH</t>
  </si>
  <si>
    <t>OD263ILS05_BLK</t>
  </si>
  <si>
    <t>OD263ILS05_BLU</t>
  </si>
  <si>
    <t>OD263ILS05_IVY</t>
  </si>
  <si>
    <t>OD263ILS06_DGY</t>
  </si>
  <si>
    <t>OD263ILS06_LGN</t>
  </si>
  <si>
    <t>OD263ILS06_MWH</t>
  </si>
  <si>
    <t>OD263ILS08_BLK</t>
  </si>
  <si>
    <t>OD263ILS08_DGY</t>
  </si>
  <si>
    <t>OD263ILS08_MUS</t>
  </si>
  <si>
    <t>OD263ILS09_GRY</t>
  </si>
  <si>
    <t>OD263ILS09_MLG</t>
  </si>
  <si>
    <t>OD263ILS09_OTM</t>
  </si>
  <si>
    <t>OD263IMM02_BLK</t>
  </si>
  <si>
    <t>OD263IMM02_LBL</t>
  </si>
  <si>
    <t>OD263IMM02_OTM</t>
  </si>
  <si>
    <t>OD263IMM03_CRE</t>
  </si>
  <si>
    <t>OD263IMM03_MLG</t>
  </si>
  <si>
    <t>OD263IMM03_NVY</t>
  </si>
  <si>
    <t>OD263IMM72_BLK</t>
  </si>
  <si>
    <t>OD263IMM72_BRN</t>
  </si>
  <si>
    <t>OD263IZM71_MLG</t>
  </si>
  <si>
    <t>OD263IZM71_OTM</t>
  </si>
  <si>
    <t>택가</t>
  </si>
  <si>
    <t>모델번호</t>
  </si>
  <si>
    <t>모델_컬러</t>
  </si>
  <si>
    <t>복종(영어)</t>
  </si>
  <si>
    <t>복종(한어)</t>
  </si>
  <si>
    <t>PT</t>
  </si>
  <si>
    <t>바지</t>
  </si>
  <si>
    <t>OP</t>
  </si>
  <si>
    <t>원피스</t>
  </si>
  <si>
    <t>JK</t>
  </si>
  <si>
    <t>자켓</t>
  </si>
  <si>
    <t>MM</t>
  </si>
  <si>
    <t>맨투맨</t>
  </si>
  <si>
    <t>HD</t>
  </si>
  <si>
    <t>후드티</t>
  </si>
  <si>
    <t>LS</t>
  </si>
  <si>
    <t>긴팔</t>
  </si>
  <si>
    <t>ZM</t>
  </si>
  <si>
    <t>집업맨투맨</t>
  </si>
  <si>
    <t>세트</t>
  </si>
  <si>
    <t>DP</t>
  </si>
  <si>
    <t>청바지 / 데님</t>
  </si>
  <si>
    <t>SK</t>
  </si>
  <si>
    <t>스커트</t>
  </si>
  <si>
    <t>LC</t>
  </si>
  <si>
    <t>카라티</t>
  </si>
  <si>
    <t>HZ</t>
  </si>
  <si>
    <t>후드집업</t>
  </si>
  <si>
    <t>복종 순서</t>
  </si>
  <si>
    <t>순서</t>
  </si>
  <si>
    <t>가방</t>
  </si>
  <si>
    <t>양말</t>
  </si>
  <si>
    <t>AB</t>
  </si>
  <si>
    <t>AO</t>
  </si>
  <si>
    <t>톡딜가</t>
  </si>
  <si>
    <t>* 3만원 이상 구매 시, 아웃도어 양말 증정</t>
  </si>
  <si>
    <t>카카오페이 7%</t>
  </si>
  <si>
    <t>최종할인율</t>
  </si>
  <si>
    <t>* 2만원 이상 구매시, 3천원 할인 쿠폰</t>
  </si>
  <si>
    <t>톡딜쿠폰가</t>
  </si>
  <si>
    <t>최종가</t>
  </si>
  <si>
    <t>중요</t>
  </si>
  <si>
    <t>★</t>
  </si>
  <si>
    <t>* 10만원 이상 구매 시, 아웃도어 백팩 선착순 15명 증정</t>
  </si>
  <si>
    <t>OD262BHP01_BEI</t>
  </si>
  <si>
    <t>OD262BHP01_BLK</t>
  </si>
  <si>
    <t>OD262BHP01_DGY</t>
  </si>
  <si>
    <t>OD262ISS03_BLK</t>
  </si>
  <si>
    <t>OD262ISS03_MLG</t>
  </si>
  <si>
    <t>OD262ISS03_ORG</t>
  </si>
  <si>
    <t>OD262ISS03_OWH</t>
  </si>
  <si>
    <t>OD262ISS17_IVY</t>
  </si>
  <si>
    <t>OD262ISS17_MWH</t>
  </si>
  <si>
    <t>OD262ISS17_RBL</t>
  </si>
  <si>
    <t>OD262ISS18_LGN</t>
  </si>
  <si>
    <t>OD262ISS18_OWH</t>
  </si>
  <si>
    <t>OD262ISS42_MLG</t>
  </si>
  <si>
    <t>OD262ISS42_NVY</t>
  </si>
  <si>
    <t>OD262ISS42_OWH</t>
  </si>
  <si>
    <t>OD262ISS44_BLK</t>
  </si>
  <si>
    <t>OD262ISS44_BLU</t>
  </si>
  <si>
    <t>OD262ISS44_IVY</t>
  </si>
  <si>
    <t>OD262ISS44_MWH</t>
  </si>
  <si>
    <t>OD262ISS44_YEL</t>
  </si>
  <si>
    <t>OD262ISS45_DNY</t>
  </si>
  <si>
    <t>OD262ISS45_MWH</t>
  </si>
  <si>
    <t>OD262ISS45_OWH</t>
  </si>
  <si>
    <t>OD262ISS46_CHC</t>
  </si>
  <si>
    <t>OD262ISS46_LGN</t>
  </si>
  <si>
    <t>OD262ISS46_ORG</t>
  </si>
  <si>
    <t>OD262ISS47_BLK</t>
  </si>
  <si>
    <t>OD262ISS47_MLG</t>
  </si>
  <si>
    <t>OD262ISS47_OWH</t>
  </si>
  <si>
    <t>HP</t>
  </si>
  <si>
    <t>SS</t>
  </si>
  <si>
    <t>반팔티</t>
  </si>
  <si>
    <t>OD267BPT16_BEI</t>
  </si>
  <si>
    <t>OD267BPT16_KHA</t>
  </si>
  <si>
    <t>OD267BPT16_NVY</t>
  </si>
  <si>
    <t>7부바지</t>
  </si>
  <si>
    <t>재고</t>
  </si>
  <si>
    <t>* 카카오페이 2만원이상 결제 시, 7% 할인(최대 5천원)</t>
  </si>
  <si>
    <t>혜택가</t>
  </si>
  <si>
    <t>카고 조거 팬츠</t>
  </si>
  <si>
    <t>카고 우븐 팬츠</t>
  </si>
  <si>
    <t>아웃도어 7부 우븐 팬츠</t>
  </si>
  <si>
    <t>아웃도어 7부 우븐팬츠</t>
  </si>
  <si>
    <t>OD262ISS02_MLG</t>
  </si>
  <si>
    <t>OD262ISS02_NVY</t>
  </si>
  <si>
    <t>OD262ISS02_OWH</t>
  </si>
  <si>
    <t>OD262ISS04_BLK</t>
  </si>
  <si>
    <t>OD262ISS04_BLU</t>
  </si>
  <si>
    <t>OD262ISS04_IVY</t>
  </si>
  <si>
    <t>OD262ISS04_MWH</t>
  </si>
  <si>
    <t>OD262ISS04_YEL</t>
  </si>
  <si>
    <t>OD262ISS15_DNY</t>
  </si>
  <si>
    <t>OD262ISS15_MWH</t>
  </si>
  <si>
    <t>OD262ISS15_OWH</t>
  </si>
  <si>
    <t>OD262ISS06_CHC</t>
  </si>
  <si>
    <t>OD262ISS06_LGN</t>
  </si>
  <si>
    <t>OD262ISS06_ORG</t>
  </si>
  <si>
    <t>OD262ISS07_BLK</t>
  </si>
  <si>
    <t>OD262ISS07_MLG</t>
  </si>
  <si>
    <t>OD262ISS07_OWH</t>
  </si>
  <si>
    <t>OD262ISS02</t>
  </si>
  <si>
    <t>OD262ISS04</t>
  </si>
  <si>
    <t>OD262ISS15</t>
  </si>
  <si>
    <t>OD262ISS06</t>
  </si>
  <si>
    <t>OD262ISS07</t>
  </si>
  <si>
    <t>컬러코드</t>
  </si>
  <si>
    <t>베이직 조거 팬츠</t>
  </si>
  <si>
    <t>코튼 트윌 카고 팬츠</t>
  </si>
  <si>
    <t>아웃도어 베이직 양말</t>
  </si>
  <si>
    <t>여아 반집 맨투맨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</si>
</sst>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rgb="FF0070C0"/>
      <name val="맑은 고딕"/>
      <family val="2"/>
      <charset val="129"/>
    </font>
    <font>
      <sz val="8"/>
      <name val="맑은 고딕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9" fontId="0" fillId="0" borderId="0" xfId="0" applyNumberFormat="1"/>
    <xf numFmtId="0" fontId="0" fillId="34" borderId="0" xfId="0" applyFill="1" applyAlignment="1">
      <alignment horizontal="center"/>
    </xf>
    <xf numFmtId="3" fontId="0" fillId="0" borderId="0" xfId="0" applyNumberFormat="1"/>
    <xf numFmtId="3" fontId="0" fillId="34" borderId="0" xfId="0" applyNumberFormat="1" applyFill="1" applyAlignment="1">
      <alignment horizontal="center"/>
    </xf>
    <xf numFmtId="0" fontId="18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3" fontId="0" fillId="36" borderId="0" xfId="0" applyNumberFormat="1" applyFill="1" applyAlignment="1">
      <alignment horizontal="center"/>
    </xf>
    <xf numFmtId="3" fontId="0" fillId="33" borderId="0" xfId="0" applyNumberFormat="1" applyFill="1"/>
    <xf numFmtId="9" fontId="0" fillId="33" borderId="0" xfId="0" applyNumberFormat="1" applyFill="1"/>
    <xf numFmtId="0" fontId="20" fillId="0" borderId="0" xfId="0" applyFont="1" applyAlignment="1">
      <alignment horizontal="center"/>
    </xf>
    <xf numFmtId="3" fontId="20" fillId="33" borderId="0" xfId="0" applyNumberFormat="1" applyFont="1" applyFill="1"/>
    <xf numFmtId="9" fontId="20" fillId="33" borderId="0" xfId="0" applyNumberFormat="1" applyFont="1" applyFill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9" fontId="20" fillId="0" borderId="0" xfId="0" applyNumberFormat="1" applyFont="1"/>
    <xf numFmtId="0" fontId="18" fillId="0" borderId="0" xfId="0" applyFont="1"/>
    <xf numFmtId="3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/>
    <xf numFmtId="9" fontId="19" fillId="0" borderId="0" xfId="0" applyNumberFormat="1" applyFont="1"/>
    <xf numFmtId="0" fontId="0" fillId="0" borderId="10" xfId="0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/>
    <xf numFmtId="3" fontId="0" fillId="0" borderId="17" xfId="0" applyNumberForma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3" fontId="19" fillId="0" borderId="14" xfId="0" applyNumberFormat="1" applyFont="1" applyBorder="1"/>
    <xf numFmtId="0" fontId="20" fillId="0" borderId="14" xfId="0" applyFont="1" applyBorder="1" applyAlignment="1">
      <alignment horizontal="center"/>
    </xf>
    <xf numFmtId="0" fontId="20" fillId="0" borderId="14" xfId="0" applyFont="1" applyBorder="1"/>
    <xf numFmtId="3" fontId="20" fillId="0" borderId="14" xfId="0" applyNumberFormat="1" applyFont="1" applyBorder="1"/>
    <xf numFmtId="0" fontId="20" fillId="0" borderId="17" xfId="0" applyFont="1" applyBorder="1" applyAlignment="1">
      <alignment horizontal="center"/>
    </xf>
    <xf numFmtId="0" fontId="20" fillId="0" borderId="17" xfId="0" applyFont="1" applyBorder="1"/>
    <xf numFmtId="3" fontId="20" fillId="0" borderId="17" xfId="0" applyNumberFormat="1" applyFont="1" applyBorder="1"/>
    <xf numFmtId="0" fontId="0" fillId="38" borderId="14" xfId="0" applyFill="1" applyBorder="1" applyAlignment="1">
      <alignment horizontal="center"/>
    </xf>
    <xf numFmtId="0" fontId="0" fillId="38" borderId="14" xfId="0" applyFill="1" applyBorder="1"/>
    <xf numFmtId="3" fontId="0" fillId="38" borderId="14" xfId="0" applyNumberFormat="1" applyFill="1" applyBorder="1"/>
    <xf numFmtId="0" fontId="20" fillId="38" borderId="19" xfId="0" applyFont="1" applyFill="1" applyBorder="1" applyAlignment="1">
      <alignment horizontal="center"/>
    </xf>
    <xf numFmtId="0" fontId="20" fillId="38" borderId="19" xfId="0" applyFont="1" applyFill="1" applyBorder="1"/>
    <xf numFmtId="0" fontId="0" fillId="38" borderId="19" xfId="0" applyFill="1" applyBorder="1"/>
    <xf numFmtId="3" fontId="20" fillId="38" borderId="19" xfId="0" applyNumberFormat="1" applyFont="1" applyFill="1" applyBorder="1"/>
    <xf numFmtId="0" fontId="0" fillId="38" borderId="17" xfId="0" applyFill="1" applyBorder="1" applyAlignment="1">
      <alignment horizontal="center"/>
    </xf>
    <xf numFmtId="0" fontId="0" fillId="38" borderId="17" xfId="0" applyFill="1" applyBorder="1"/>
    <xf numFmtId="3" fontId="0" fillId="38" borderId="17" xfId="0" applyNumberFormat="1" applyFill="1" applyBorder="1"/>
    <xf numFmtId="0" fontId="0" fillId="38" borderId="10" xfId="0" applyFill="1" applyBorder="1" applyAlignment="1">
      <alignment horizontal="center"/>
    </xf>
    <xf numFmtId="0" fontId="0" fillId="38" borderId="10" xfId="0" applyFill="1" applyBorder="1"/>
    <xf numFmtId="3" fontId="0" fillId="38" borderId="10" xfId="0" applyNumberFormat="1" applyFill="1" applyBorder="1"/>
    <xf numFmtId="0" fontId="0" fillId="38" borderId="19" xfId="0" applyFill="1" applyBorder="1" applyAlignment="1">
      <alignment horizontal="center"/>
    </xf>
    <xf numFmtId="3" fontId="0" fillId="38" borderId="19" xfId="0" applyNumberFormat="1" applyFill="1" applyBorder="1"/>
    <xf numFmtId="0" fontId="20" fillId="38" borderId="17" xfId="0" applyFont="1" applyFill="1" applyBorder="1" applyAlignment="1">
      <alignment horizontal="center"/>
    </xf>
    <xf numFmtId="0" fontId="20" fillId="38" borderId="17" xfId="0" applyFont="1" applyFill="1" applyBorder="1"/>
    <xf numFmtId="3" fontId="20" fillId="38" borderId="17" xfId="0" applyNumberFormat="1" applyFont="1" applyFill="1" applyBorder="1"/>
    <xf numFmtId="0" fontId="19" fillId="38" borderId="17" xfId="0" applyFont="1" applyFill="1" applyBorder="1" applyAlignment="1">
      <alignment horizontal="center"/>
    </xf>
    <xf numFmtId="0" fontId="19" fillId="38" borderId="17" xfId="0" applyFont="1" applyFill="1" applyBorder="1"/>
    <xf numFmtId="3" fontId="19" fillId="38" borderId="17" xfId="0" applyNumberFormat="1" applyFont="1" applyFill="1" applyBorder="1"/>
    <xf numFmtId="0" fontId="20" fillId="38" borderId="10" xfId="0" applyFont="1" applyFill="1" applyBorder="1" applyAlignment="1">
      <alignment horizontal="center"/>
    </xf>
    <xf numFmtId="0" fontId="20" fillId="38" borderId="10" xfId="0" applyFont="1" applyFill="1" applyBorder="1"/>
    <xf numFmtId="3" fontId="20" fillId="38" borderId="10" xfId="0" applyNumberFormat="1" applyFont="1" applyFill="1" applyBorder="1"/>
    <xf numFmtId="0" fontId="0" fillId="0" borderId="13" xfId="0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1" fillId="39" borderId="11" xfId="0" applyFont="1" applyFill="1" applyBorder="1" applyAlignment="1">
      <alignment horizontal="center"/>
    </xf>
    <xf numFmtId="0" fontId="21" fillId="39" borderId="12" xfId="0" applyFont="1" applyFill="1" applyBorder="1" applyAlignment="1">
      <alignment horizontal="center"/>
    </xf>
    <xf numFmtId="3" fontId="21" fillId="39" borderId="20" xfId="0" applyNumberFormat="1" applyFont="1" applyFill="1" applyBorder="1" applyAlignment="1">
      <alignment horizontal="center"/>
    </xf>
    <xf numFmtId="3" fontId="0" fillId="33" borderId="21" xfId="0" applyNumberFormat="1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3" fontId="0" fillId="38" borderId="23" xfId="0" applyNumberFormat="1" applyFill="1" applyBorder="1"/>
    <xf numFmtId="9" fontId="0" fillId="38" borderId="24" xfId="0" applyNumberFormat="1" applyFill="1" applyBorder="1"/>
    <xf numFmtId="3" fontId="0" fillId="0" borderId="25" xfId="0" applyNumberFormat="1" applyBorder="1"/>
    <xf numFmtId="9" fontId="0" fillId="0" borderId="26" xfId="0" applyNumberFormat="1" applyBorder="1"/>
    <xf numFmtId="3" fontId="0" fillId="0" borderId="27" xfId="0" applyNumberFormat="1" applyBorder="1"/>
    <xf numFmtId="9" fontId="0" fillId="0" borderId="28" xfId="0" applyNumberFormat="1" applyBorder="1"/>
    <xf numFmtId="3" fontId="20" fillId="38" borderId="29" xfId="0" applyNumberFormat="1" applyFont="1" applyFill="1" applyBorder="1"/>
    <xf numFmtId="9" fontId="20" fillId="38" borderId="30" xfId="0" applyNumberFormat="1" applyFont="1" applyFill="1" applyBorder="1"/>
    <xf numFmtId="3" fontId="0" fillId="0" borderId="23" xfId="0" applyNumberFormat="1" applyBorder="1"/>
    <xf numFmtId="9" fontId="0" fillId="0" borderId="24" xfId="0" applyNumberFormat="1" applyBorder="1"/>
    <xf numFmtId="3" fontId="0" fillId="38" borderId="27" xfId="0" applyNumberFormat="1" applyFill="1" applyBorder="1"/>
    <xf numFmtId="9" fontId="0" fillId="38" borderId="28" xfId="0" applyNumberFormat="1" applyFill="1" applyBorder="1"/>
    <xf numFmtId="3" fontId="0" fillId="38" borderId="25" xfId="0" applyNumberFormat="1" applyFill="1" applyBorder="1"/>
    <xf numFmtId="9" fontId="0" fillId="38" borderId="26" xfId="0" applyNumberFormat="1" applyFill="1" applyBorder="1"/>
    <xf numFmtId="3" fontId="0" fillId="38" borderId="29" xfId="0" applyNumberFormat="1" applyFill="1" applyBorder="1"/>
    <xf numFmtId="9" fontId="0" fillId="38" borderId="30" xfId="0" applyNumberFormat="1" applyFill="1" applyBorder="1"/>
    <xf numFmtId="3" fontId="20" fillId="0" borderId="23" xfId="0" applyNumberFormat="1" applyFont="1" applyBorder="1"/>
    <xf numFmtId="9" fontId="20" fillId="0" borderId="24" xfId="0" applyNumberFormat="1" applyFont="1" applyBorder="1"/>
    <xf numFmtId="3" fontId="20" fillId="38" borderId="27" xfId="0" applyNumberFormat="1" applyFont="1" applyFill="1" applyBorder="1"/>
    <xf numFmtId="9" fontId="20" fillId="38" borderId="28" xfId="0" applyNumberFormat="1" applyFont="1" applyFill="1" applyBorder="1"/>
    <xf numFmtId="3" fontId="19" fillId="38" borderId="27" xfId="0" applyNumberFormat="1" applyFont="1" applyFill="1" applyBorder="1"/>
    <xf numFmtId="3" fontId="19" fillId="0" borderId="23" xfId="0" applyNumberFormat="1" applyFont="1" applyBorder="1"/>
    <xf numFmtId="3" fontId="20" fillId="0" borderId="27" xfId="0" applyNumberFormat="1" applyFont="1" applyBorder="1"/>
    <xf numFmtId="9" fontId="20" fillId="0" borderId="28" xfId="0" applyNumberFormat="1" applyFont="1" applyBorder="1"/>
    <xf numFmtId="3" fontId="20" fillId="38" borderId="25" xfId="0" applyNumberFormat="1" applyFont="1" applyFill="1" applyBorder="1"/>
    <xf numFmtId="9" fontId="20" fillId="38" borderId="26" xfId="0" applyNumberFormat="1" applyFont="1" applyFill="1" applyBorder="1"/>
    <xf numFmtId="3" fontId="0" fillId="38" borderId="31" xfId="0" applyNumberFormat="1" applyFill="1" applyBorder="1"/>
    <xf numFmtId="3" fontId="0" fillId="38" borderId="32" xfId="0" applyNumberFormat="1" applyFill="1" applyBorder="1"/>
    <xf numFmtId="9" fontId="0" fillId="38" borderId="33" xfId="0" applyNumberFormat="1" applyFill="1" applyBorder="1"/>
    <xf numFmtId="0" fontId="22" fillId="0" borderId="0" xfId="0" applyFont="1"/>
    <xf numFmtId="0" fontId="23" fillId="0" borderId="0" xfId="0" applyFont="1"/>
    <xf numFmtId="0" fontId="24" fillId="0" borderId="13" xfId="0" applyFont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24" fillId="38" borderId="14" xfId="0" applyFont="1" applyFill="1" applyBorder="1"/>
    <xf numFmtId="3" fontId="24" fillId="38" borderId="23" xfId="0" applyNumberFormat="1" applyFont="1" applyFill="1" applyBorder="1"/>
    <xf numFmtId="3" fontId="24" fillId="38" borderId="14" xfId="0" applyNumberFormat="1" applyFont="1" applyFill="1" applyBorder="1"/>
    <xf numFmtId="9" fontId="24" fillId="38" borderId="24" xfId="0" applyNumberFormat="1" applyFont="1" applyFill="1" applyBorder="1"/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3" fontId="24" fillId="0" borderId="25" xfId="0" applyNumberFormat="1" applyFont="1" applyBorder="1"/>
    <xf numFmtId="3" fontId="24" fillId="0" borderId="10" xfId="0" applyNumberFormat="1" applyFont="1" applyBorder="1"/>
    <xf numFmtId="9" fontId="24" fillId="0" borderId="26" xfId="0" applyNumberFormat="1" applyFont="1" applyBorder="1"/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3" fontId="24" fillId="0" borderId="27" xfId="0" applyNumberFormat="1" applyFont="1" applyBorder="1"/>
    <xf numFmtId="3" fontId="24" fillId="0" borderId="17" xfId="0" applyNumberFormat="1" applyFont="1" applyBorder="1"/>
    <xf numFmtId="9" fontId="24" fillId="0" borderId="28" xfId="0" applyNumberFormat="1" applyFont="1" applyBorder="1"/>
    <xf numFmtId="0" fontId="24" fillId="0" borderId="14" xfId="0" applyFont="1" applyBorder="1" applyAlignment="1">
      <alignment horizontal="center"/>
    </xf>
    <xf numFmtId="0" fontId="24" fillId="0" borderId="14" xfId="0" applyFont="1" applyBorder="1"/>
    <xf numFmtId="3" fontId="24" fillId="0" borderId="23" xfId="0" applyNumberFormat="1" applyFont="1" applyBorder="1"/>
    <xf numFmtId="3" fontId="24" fillId="0" borderId="14" xfId="0" applyNumberFormat="1" applyFont="1" applyBorder="1"/>
    <xf numFmtId="9" fontId="24" fillId="0" borderId="24" xfId="0" applyNumberFormat="1" applyFont="1" applyBorder="1"/>
    <xf numFmtId="0" fontId="24" fillId="38" borderId="10" xfId="0" applyFont="1" applyFill="1" applyBorder="1" applyAlignment="1">
      <alignment horizontal="center"/>
    </xf>
    <xf numFmtId="0" fontId="24" fillId="38" borderId="10" xfId="0" applyFont="1" applyFill="1" applyBorder="1"/>
    <xf numFmtId="3" fontId="24" fillId="38" borderId="25" xfId="0" applyNumberFormat="1" applyFont="1" applyFill="1" applyBorder="1"/>
    <xf numFmtId="3" fontId="24" fillId="38" borderId="10" xfId="0" applyNumberFormat="1" applyFont="1" applyFill="1" applyBorder="1"/>
    <xf numFmtId="9" fontId="24" fillId="38" borderId="26" xfId="0" applyNumberFormat="1" applyFont="1" applyFill="1" applyBorder="1"/>
    <xf numFmtId="0" fontId="24" fillId="38" borderId="17" xfId="0" applyFont="1" applyFill="1" applyBorder="1" applyAlignment="1">
      <alignment horizontal="center"/>
    </xf>
    <xf numFmtId="0" fontId="24" fillId="38" borderId="17" xfId="0" applyFont="1" applyFill="1" applyBorder="1"/>
    <xf numFmtId="3" fontId="24" fillId="38" borderId="27" xfId="0" applyNumberFormat="1" applyFont="1" applyFill="1" applyBorder="1"/>
    <xf numFmtId="3" fontId="24" fillId="38" borderId="17" xfId="0" applyNumberFormat="1" applyFont="1" applyFill="1" applyBorder="1"/>
    <xf numFmtId="9" fontId="24" fillId="38" borderId="28" xfId="0" applyNumberFormat="1" applyFont="1" applyFill="1" applyBorder="1"/>
    <xf numFmtId="0" fontId="24" fillId="0" borderId="18" xfId="0" applyFont="1" applyBorder="1" applyAlignment="1">
      <alignment horizontal="center"/>
    </xf>
    <xf numFmtId="0" fontId="24" fillId="38" borderId="19" xfId="0" applyFont="1" applyFill="1" applyBorder="1" applyAlignment="1">
      <alignment horizontal="center"/>
    </xf>
    <xf numFmtId="0" fontId="24" fillId="38" borderId="19" xfId="0" applyFont="1" applyFill="1" applyBorder="1"/>
    <xf numFmtId="3" fontId="24" fillId="38" borderId="29" xfId="0" applyNumberFormat="1" applyFont="1" applyFill="1" applyBorder="1"/>
    <xf numFmtId="3" fontId="24" fillId="38" borderId="19" xfId="0" applyNumberFormat="1" applyFont="1" applyFill="1" applyBorder="1"/>
    <xf numFmtId="9" fontId="24" fillId="38" borderId="30" xfId="0" applyNumberFormat="1" applyFont="1" applyFill="1" applyBorder="1"/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6" fillId="0" borderId="0" xfId="0" applyFont="1"/>
    <xf numFmtId="0" fontId="26" fillId="0" borderId="13" xfId="0" applyFont="1" applyBorder="1" applyAlignment="1">
      <alignment horizontal="center"/>
    </xf>
    <xf numFmtId="0" fontId="26" fillId="38" borderId="14" xfId="0" applyFont="1" applyFill="1" applyBorder="1" applyAlignment="1">
      <alignment horizontal="center"/>
    </xf>
    <xf numFmtId="3" fontId="26" fillId="38" borderId="14" xfId="0" applyNumberFormat="1" applyFont="1" applyFill="1" applyBorder="1"/>
    <xf numFmtId="3" fontId="26" fillId="38" borderId="23" xfId="0" applyNumberFormat="1" applyFont="1" applyFill="1" applyBorder="1"/>
    <xf numFmtId="9" fontId="26" fillId="38" borderId="24" xfId="0" applyNumberFormat="1" applyFont="1" applyFill="1" applyBorder="1"/>
    <xf numFmtId="0" fontId="26" fillId="0" borderId="10" xfId="0" applyFont="1" applyBorder="1" applyAlignment="1">
      <alignment horizontal="center"/>
    </xf>
    <xf numFmtId="3" fontId="26" fillId="0" borderId="10" xfId="0" applyNumberFormat="1" applyFont="1" applyBorder="1"/>
    <xf numFmtId="3" fontId="26" fillId="0" borderId="25" xfId="0" applyNumberFormat="1" applyFont="1" applyBorder="1"/>
    <xf numFmtId="9" fontId="26" fillId="0" borderId="26" xfId="0" applyNumberFormat="1" applyFont="1" applyBorder="1"/>
    <xf numFmtId="0" fontId="26" fillId="0" borderId="17" xfId="0" applyFont="1" applyBorder="1" applyAlignment="1">
      <alignment horizontal="center"/>
    </xf>
    <xf numFmtId="3" fontId="26" fillId="0" borderId="17" xfId="0" applyNumberFormat="1" applyFont="1" applyBorder="1"/>
    <xf numFmtId="3" fontId="26" fillId="0" borderId="27" xfId="0" applyNumberFormat="1" applyFont="1" applyBorder="1"/>
    <xf numFmtId="9" fontId="26" fillId="0" borderId="28" xfId="0" applyNumberFormat="1" applyFont="1" applyBorder="1"/>
    <xf numFmtId="0" fontId="26" fillId="0" borderId="14" xfId="0" applyFont="1" applyBorder="1" applyAlignment="1">
      <alignment horizontal="center"/>
    </xf>
    <xf numFmtId="3" fontId="26" fillId="0" borderId="14" xfId="0" applyNumberFormat="1" applyFont="1" applyBorder="1"/>
    <xf numFmtId="3" fontId="26" fillId="0" borderId="23" xfId="0" applyNumberFormat="1" applyFont="1" applyBorder="1"/>
    <xf numFmtId="9" fontId="26" fillId="0" borderId="24" xfId="0" applyNumberFormat="1" applyFont="1" applyBorder="1"/>
    <xf numFmtId="0" fontId="26" fillId="38" borderId="17" xfId="0" applyFont="1" applyFill="1" applyBorder="1" applyAlignment="1">
      <alignment horizontal="center"/>
    </xf>
    <xf numFmtId="3" fontId="26" fillId="38" borderId="17" xfId="0" applyNumberFormat="1" applyFont="1" applyFill="1" applyBorder="1"/>
    <xf numFmtId="3" fontId="26" fillId="38" borderId="27" xfId="0" applyNumberFormat="1" applyFont="1" applyFill="1" applyBorder="1"/>
    <xf numFmtId="9" fontId="26" fillId="38" borderId="28" xfId="0" applyNumberFormat="1" applyFont="1" applyFill="1" applyBorder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2BAE-AB60-4062-B3D0-FC80AB019498}">
  <sheetPr>
    <tabColor rgb="FFFFFF00"/>
  </sheetPr>
  <dimension ref="A1:N235"/>
  <sheetViews>
    <sheetView showGridLines="0" tabSelected="1" zoomScale="186" zoomScaleNormal="186" workbookViewId="0">
      <selection activeCell="E7" sqref="E7"/>
    </sheetView>
  </sheetViews>
  <sheetFormatPr baseColWidth="10" defaultColWidth="8.83203125" defaultRowHeight="17"/>
  <cols>
    <col min="1" max="1" width="9" style="2"/>
    <col min="2" max="3" width="4.6640625" style="2" bestFit="1" customWidth="1"/>
    <col min="4" max="4" width="12.6640625" bestFit="1" customWidth="1"/>
    <col min="5" max="5" width="18.6640625" bestFit="1" customWidth="1"/>
    <col min="6" max="6" width="18.6640625" customWidth="1"/>
    <col min="7" max="7" width="54.33203125" bestFit="1" customWidth="1"/>
    <col min="8" max="8" width="10.1640625" style="6" bestFit="1" customWidth="1"/>
    <col min="9" max="9" width="14.1640625" style="6" customWidth="1"/>
    <col min="10" max="11" width="11.5" customWidth="1"/>
  </cols>
  <sheetData>
    <row r="1" spans="1:11" s="2" customFormat="1">
      <c r="A1" s="73" t="s">
        <v>409</v>
      </c>
      <c r="B1" s="74" t="s">
        <v>1</v>
      </c>
      <c r="C1" s="74" t="s">
        <v>190</v>
      </c>
      <c r="D1" s="74" t="s">
        <v>381</v>
      </c>
      <c r="E1" s="74" t="s">
        <v>382</v>
      </c>
      <c r="F1" s="74" t="s">
        <v>489</v>
      </c>
      <c r="G1" s="74" t="s">
        <v>0</v>
      </c>
      <c r="H1" s="75" t="s">
        <v>380</v>
      </c>
      <c r="I1" s="76" t="s">
        <v>414</v>
      </c>
      <c r="J1" s="77" t="s">
        <v>462</v>
      </c>
      <c r="K1" s="78" t="s">
        <v>417</v>
      </c>
    </row>
    <row r="2" spans="1:11">
      <c r="A2" s="69">
        <v>1</v>
      </c>
      <c r="B2" s="45">
        <v>26</v>
      </c>
      <c r="C2" s="45">
        <v>1</v>
      </c>
      <c r="D2" s="45" t="s">
        <v>14</v>
      </c>
      <c r="E2" s="45" t="s">
        <v>315</v>
      </c>
      <c r="F2" s="45" t="str">
        <f>RIGHT(E2,3)</f>
        <v>BLK</v>
      </c>
      <c r="G2" s="46" t="s">
        <v>13</v>
      </c>
      <c r="H2" s="79">
        <v>42000</v>
      </c>
      <c r="I2" s="47">
        <v>18000</v>
      </c>
      <c r="J2" s="47">
        <v>18000</v>
      </c>
      <c r="K2" s="80">
        <f t="shared" ref="K2:K13" si="0">1-J2/H2</f>
        <v>0.5714285714285714</v>
      </c>
    </row>
    <row r="3" spans="1:11">
      <c r="A3" s="70">
        <v>1</v>
      </c>
      <c r="B3" s="27">
        <v>26</v>
      </c>
      <c r="C3" s="27">
        <v>1</v>
      </c>
      <c r="D3" s="27" t="s">
        <v>14</v>
      </c>
      <c r="E3" s="27" t="s">
        <v>316</v>
      </c>
      <c r="F3" s="27" t="str">
        <f t="shared" ref="F3:F69" si="1">RIGHT(E3,3)</f>
        <v>LIM</v>
      </c>
      <c r="G3" s="28" t="s">
        <v>13</v>
      </c>
      <c r="H3" s="81">
        <v>42000</v>
      </c>
      <c r="I3" s="29">
        <v>18000</v>
      </c>
      <c r="J3" s="29">
        <v>18000</v>
      </c>
      <c r="K3" s="82">
        <f t="shared" si="0"/>
        <v>0.5714285714285714</v>
      </c>
    </row>
    <row r="4" spans="1:11">
      <c r="A4" s="71">
        <v>1</v>
      </c>
      <c r="B4" s="33">
        <v>26</v>
      </c>
      <c r="C4" s="33">
        <v>1</v>
      </c>
      <c r="D4" s="33" t="s">
        <v>14</v>
      </c>
      <c r="E4" s="33" t="s">
        <v>317</v>
      </c>
      <c r="F4" s="33" t="str">
        <f t="shared" si="1"/>
        <v>NVY</v>
      </c>
      <c r="G4" s="34" t="s">
        <v>13</v>
      </c>
      <c r="H4" s="83">
        <v>42000</v>
      </c>
      <c r="I4" s="35">
        <v>18000</v>
      </c>
      <c r="J4" s="35">
        <v>18000</v>
      </c>
      <c r="K4" s="84">
        <f t="shared" si="0"/>
        <v>0.5714285714285714</v>
      </c>
    </row>
    <row r="5" spans="1:11">
      <c r="A5" s="69">
        <v>2</v>
      </c>
      <c r="B5" s="30">
        <v>25</v>
      </c>
      <c r="C5" s="30">
        <v>3</v>
      </c>
      <c r="D5" s="30" t="s">
        <v>21</v>
      </c>
      <c r="E5" s="30" t="s">
        <v>261</v>
      </c>
      <c r="F5" s="30" t="str">
        <f t="shared" si="1"/>
        <v>DGY</v>
      </c>
      <c r="G5" s="31" t="s">
        <v>22</v>
      </c>
      <c r="H5" s="87">
        <v>42000</v>
      </c>
      <c r="I5" s="32">
        <v>18000</v>
      </c>
      <c r="J5" s="32">
        <v>18000</v>
      </c>
      <c r="K5" s="88">
        <f t="shared" si="0"/>
        <v>0.5714285714285714</v>
      </c>
    </row>
    <row r="6" spans="1:11">
      <c r="A6" s="71">
        <v>2</v>
      </c>
      <c r="B6" s="63">
        <v>25</v>
      </c>
      <c r="C6" s="63">
        <v>3</v>
      </c>
      <c r="D6" s="63" t="s">
        <v>21</v>
      </c>
      <c r="E6" s="63" t="s">
        <v>262</v>
      </c>
      <c r="F6" s="63" t="str">
        <f t="shared" si="1"/>
        <v>OLI</v>
      </c>
      <c r="G6" s="64" t="s">
        <v>22</v>
      </c>
      <c r="H6" s="99">
        <v>42000</v>
      </c>
      <c r="I6" s="54">
        <v>18000</v>
      </c>
      <c r="J6" s="54">
        <v>18000</v>
      </c>
      <c r="K6" s="90">
        <f t="shared" si="0"/>
        <v>0.5714285714285714</v>
      </c>
    </row>
    <row r="7" spans="1:11">
      <c r="A7" s="69">
        <v>3</v>
      </c>
      <c r="B7" s="45">
        <v>25</v>
      </c>
      <c r="C7" s="45">
        <v>1</v>
      </c>
      <c r="D7" s="45" t="s">
        <v>115</v>
      </c>
      <c r="E7" s="45" t="s">
        <v>236</v>
      </c>
      <c r="F7" s="45" t="str">
        <f t="shared" si="1"/>
        <v>LPU</v>
      </c>
      <c r="G7" s="46" t="s">
        <v>116</v>
      </c>
      <c r="H7" s="79">
        <v>42000</v>
      </c>
      <c r="I7" s="47">
        <v>18000</v>
      </c>
      <c r="J7" s="47">
        <v>18000</v>
      </c>
      <c r="K7" s="80">
        <f t="shared" si="0"/>
        <v>0.5714285714285714</v>
      </c>
    </row>
    <row r="8" spans="1:11">
      <c r="A8" s="71">
        <v>3</v>
      </c>
      <c r="B8" s="33">
        <v>25</v>
      </c>
      <c r="C8" s="33">
        <v>1</v>
      </c>
      <c r="D8" s="33" t="s">
        <v>115</v>
      </c>
      <c r="E8" s="33" t="s">
        <v>237</v>
      </c>
      <c r="F8" s="33" t="str">
        <f t="shared" si="1"/>
        <v>NVY</v>
      </c>
      <c r="G8" s="34" t="s">
        <v>116</v>
      </c>
      <c r="H8" s="83">
        <v>42000</v>
      </c>
      <c r="I8" s="35">
        <v>18000</v>
      </c>
      <c r="J8" s="35">
        <v>18000</v>
      </c>
      <c r="K8" s="84">
        <f t="shared" si="0"/>
        <v>0.5714285714285714</v>
      </c>
    </row>
    <row r="9" spans="1:11" s="149" customFormat="1">
      <c r="A9" s="150">
        <v>4</v>
      </c>
      <c r="B9" s="151">
        <v>26</v>
      </c>
      <c r="C9" s="151">
        <v>7</v>
      </c>
      <c r="D9" s="151" t="str">
        <f t="shared" ref="D9:D11" si="2">LEFT(E9,10)</f>
        <v>OD267BPT16</v>
      </c>
      <c r="E9" s="151" t="s">
        <v>456</v>
      </c>
      <c r="F9" s="151" t="str">
        <f>RIGHT(E9,3)</f>
        <v>BEI</v>
      </c>
      <c r="G9" s="152" t="s">
        <v>466</v>
      </c>
      <c r="H9" s="153">
        <v>59000</v>
      </c>
      <c r="I9" s="152">
        <v>14000</v>
      </c>
      <c r="J9" s="152">
        <v>14000</v>
      </c>
      <c r="K9" s="154">
        <f>1-J9/H9</f>
        <v>0.76271186440677963</v>
      </c>
    </row>
    <row r="10" spans="1:11" s="149" customFormat="1">
      <c r="A10" s="70">
        <v>4</v>
      </c>
      <c r="B10" s="155">
        <v>26</v>
      </c>
      <c r="C10" s="155">
        <v>7</v>
      </c>
      <c r="D10" s="155" t="str">
        <f t="shared" si="2"/>
        <v>OD267BPT16</v>
      </c>
      <c r="E10" s="155" t="s">
        <v>457</v>
      </c>
      <c r="F10" s="155" t="str">
        <f>RIGHT(E10,3)</f>
        <v>KHA</v>
      </c>
      <c r="G10" s="156" t="s">
        <v>466</v>
      </c>
      <c r="H10" s="157">
        <v>59000</v>
      </c>
      <c r="I10" s="156">
        <v>14000</v>
      </c>
      <c r="J10" s="156">
        <v>14000</v>
      </c>
      <c r="K10" s="158">
        <f>1-J10/H10</f>
        <v>0.76271186440677963</v>
      </c>
    </row>
    <row r="11" spans="1:11" s="149" customFormat="1">
      <c r="A11" s="71">
        <v>4</v>
      </c>
      <c r="B11" s="159">
        <v>26</v>
      </c>
      <c r="C11" s="159">
        <v>7</v>
      </c>
      <c r="D11" s="159" t="str">
        <f t="shared" si="2"/>
        <v>OD267BPT16</v>
      </c>
      <c r="E11" s="159" t="s">
        <v>458</v>
      </c>
      <c r="F11" s="159" t="str">
        <f>RIGHT(E11,3)</f>
        <v>NVY</v>
      </c>
      <c r="G11" s="160" t="s">
        <v>466</v>
      </c>
      <c r="H11" s="161">
        <v>59000</v>
      </c>
      <c r="I11" s="160">
        <v>14000</v>
      </c>
      <c r="J11" s="160">
        <v>14000</v>
      </c>
      <c r="K11" s="162">
        <f>1-J11/H11</f>
        <v>0.76271186440677963</v>
      </c>
    </row>
    <row r="12" spans="1:11">
      <c r="A12" s="72">
        <v>5</v>
      </c>
      <c r="B12" s="48">
        <v>23</v>
      </c>
      <c r="C12" s="48">
        <v>3</v>
      </c>
      <c r="D12" s="48" t="s">
        <v>11</v>
      </c>
      <c r="E12" s="48" t="s">
        <v>193</v>
      </c>
      <c r="F12" s="48" t="str">
        <f t="shared" si="1"/>
        <v>PUR</v>
      </c>
      <c r="G12" s="49" t="s">
        <v>490</v>
      </c>
      <c r="H12" s="85">
        <v>49000</v>
      </c>
      <c r="I12" s="51">
        <v>18000</v>
      </c>
      <c r="J12" s="51">
        <v>18000</v>
      </c>
      <c r="K12" s="86">
        <f t="shared" si="0"/>
        <v>0.63265306122448983</v>
      </c>
    </row>
    <row r="13" spans="1:11">
      <c r="A13" s="72">
        <v>6</v>
      </c>
      <c r="B13" s="48">
        <v>23</v>
      </c>
      <c r="C13" s="48">
        <v>3</v>
      </c>
      <c r="D13" s="48" t="s">
        <v>12</v>
      </c>
      <c r="E13" s="48" t="s">
        <v>194</v>
      </c>
      <c r="F13" s="48" t="str">
        <f t="shared" si="1"/>
        <v>CHC</v>
      </c>
      <c r="G13" s="49" t="s">
        <v>491</v>
      </c>
      <c r="H13" s="85">
        <v>79000</v>
      </c>
      <c r="I13" s="51">
        <v>18000</v>
      </c>
      <c r="J13" s="51">
        <v>18000</v>
      </c>
      <c r="K13" s="86">
        <f t="shared" si="0"/>
        <v>0.77215189873417722</v>
      </c>
    </row>
    <row r="14" spans="1:11">
      <c r="A14" s="69">
        <v>7</v>
      </c>
      <c r="B14" s="30">
        <v>26</v>
      </c>
      <c r="C14" s="30">
        <v>1</v>
      </c>
      <c r="D14" s="30" t="s">
        <v>66</v>
      </c>
      <c r="E14" s="30" t="s">
        <v>321</v>
      </c>
      <c r="F14" s="30" t="str">
        <f t="shared" si="1"/>
        <v>NVY</v>
      </c>
      <c r="G14" s="31" t="s">
        <v>67</v>
      </c>
      <c r="H14" s="87">
        <v>42000</v>
      </c>
      <c r="I14" s="32">
        <v>23000</v>
      </c>
      <c r="J14" s="32">
        <v>19530</v>
      </c>
      <c r="K14" s="88">
        <f t="shared" ref="K14:K77" si="3">1-J14/H14</f>
        <v>0.53499999999999992</v>
      </c>
    </row>
    <row r="15" spans="1:11">
      <c r="A15" s="71">
        <v>7</v>
      </c>
      <c r="B15" s="52">
        <v>26</v>
      </c>
      <c r="C15" s="52">
        <v>1</v>
      </c>
      <c r="D15" s="52" t="s">
        <v>66</v>
      </c>
      <c r="E15" s="52" t="s">
        <v>322</v>
      </c>
      <c r="F15" s="52" t="str">
        <f t="shared" si="1"/>
        <v>OWH</v>
      </c>
      <c r="G15" s="53" t="s">
        <v>67</v>
      </c>
      <c r="H15" s="89">
        <v>42000</v>
      </c>
      <c r="I15" s="54">
        <v>23000</v>
      </c>
      <c r="J15" s="54">
        <v>19530</v>
      </c>
      <c r="K15" s="90">
        <f t="shared" si="3"/>
        <v>0.53499999999999992</v>
      </c>
    </row>
    <row r="16" spans="1:11">
      <c r="A16" s="69">
        <v>8</v>
      </c>
      <c r="B16" s="30">
        <v>26</v>
      </c>
      <c r="C16" s="30">
        <v>1</v>
      </c>
      <c r="D16" s="30" t="s">
        <v>27</v>
      </c>
      <c r="E16" s="30" t="s">
        <v>318</v>
      </c>
      <c r="F16" s="30" t="str">
        <f t="shared" si="1"/>
        <v>GRN</v>
      </c>
      <c r="G16" s="31" t="s">
        <v>26</v>
      </c>
      <c r="H16" s="87">
        <v>45000</v>
      </c>
      <c r="I16" s="32">
        <v>24000</v>
      </c>
      <c r="J16" s="32">
        <v>20460</v>
      </c>
      <c r="K16" s="88">
        <f t="shared" si="3"/>
        <v>0.54533333333333334</v>
      </c>
    </row>
    <row r="17" spans="1:11">
      <c r="A17" s="70">
        <v>8</v>
      </c>
      <c r="B17" s="27">
        <v>26</v>
      </c>
      <c r="C17" s="27">
        <v>1</v>
      </c>
      <c r="D17" s="27" t="s">
        <v>27</v>
      </c>
      <c r="E17" s="27" t="s">
        <v>319</v>
      </c>
      <c r="F17" s="27" t="str">
        <f t="shared" si="1"/>
        <v>LBL</v>
      </c>
      <c r="G17" s="28" t="s">
        <v>26</v>
      </c>
      <c r="H17" s="81">
        <v>45000</v>
      </c>
      <c r="I17" s="29">
        <v>24000</v>
      </c>
      <c r="J17" s="29">
        <v>20460</v>
      </c>
      <c r="K17" s="82">
        <f t="shared" si="3"/>
        <v>0.54533333333333334</v>
      </c>
    </row>
    <row r="18" spans="1:11">
      <c r="A18" s="71">
        <v>8</v>
      </c>
      <c r="B18" s="52">
        <v>26</v>
      </c>
      <c r="C18" s="52">
        <v>1</v>
      </c>
      <c r="D18" s="52" t="s">
        <v>27</v>
      </c>
      <c r="E18" s="52" t="s">
        <v>320</v>
      </c>
      <c r="F18" s="52" t="str">
        <f t="shared" si="1"/>
        <v>LKH</v>
      </c>
      <c r="G18" s="53" t="s">
        <v>26</v>
      </c>
      <c r="H18" s="89">
        <v>45000</v>
      </c>
      <c r="I18" s="54">
        <v>24000</v>
      </c>
      <c r="J18" s="54">
        <v>20460</v>
      </c>
      <c r="K18" s="90">
        <f t="shared" si="3"/>
        <v>0.54533333333333334</v>
      </c>
    </row>
    <row r="19" spans="1:11">
      <c r="A19" s="69">
        <v>9</v>
      </c>
      <c r="B19" s="30">
        <v>26</v>
      </c>
      <c r="C19" s="30">
        <v>3</v>
      </c>
      <c r="D19" s="30" t="s">
        <v>59</v>
      </c>
      <c r="E19" s="30" t="s">
        <v>354</v>
      </c>
      <c r="F19" s="30" t="str">
        <f t="shared" si="1"/>
        <v>BLK</v>
      </c>
      <c r="G19" s="31" t="s">
        <v>58</v>
      </c>
      <c r="H19" s="87">
        <v>39000</v>
      </c>
      <c r="I19" s="32">
        <v>31000</v>
      </c>
      <c r="J19" s="32">
        <v>26970</v>
      </c>
      <c r="K19" s="88">
        <f t="shared" si="3"/>
        <v>0.30846153846153845</v>
      </c>
    </row>
    <row r="20" spans="1:11">
      <c r="A20" s="70">
        <v>9</v>
      </c>
      <c r="B20" s="55">
        <v>26</v>
      </c>
      <c r="C20" s="55">
        <v>3</v>
      </c>
      <c r="D20" s="55" t="s">
        <v>59</v>
      </c>
      <c r="E20" s="55" t="s">
        <v>355</v>
      </c>
      <c r="F20" s="55" t="str">
        <f t="shared" si="1"/>
        <v>CML</v>
      </c>
      <c r="G20" s="56" t="s">
        <v>58</v>
      </c>
      <c r="H20" s="91">
        <v>39000</v>
      </c>
      <c r="I20" s="57">
        <v>31000</v>
      </c>
      <c r="J20" s="57">
        <v>26970</v>
      </c>
      <c r="K20" s="92">
        <f t="shared" si="3"/>
        <v>0.30846153846153845</v>
      </c>
    </row>
    <row r="21" spans="1:11">
      <c r="A21" s="70">
        <v>9</v>
      </c>
      <c r="B21" s="27">
        <v>26</v>
      </c>
      <c r="C21" s="27">
        <v>3</v>
      </c>
      <c r="D21" s="27" t="s">
        <v>59</v>
      </c>
      <c r="E21" s="27" t="s">
        <v>356</v>
      </c>
      <c r="F21" s="27" t="str">
        <f t="shared" si="1"/>
        <v>MLG</v>
      </c>
      <c r="G21" s="28" t="s">
        <v>58</v>
      </c>
      <c r="H21" s="81">
        <v>39000</v>
      </c>
      <c r="I21" s="29">
        <v>31000</v>
      </c>
      <c r="J21" s="29">
        <v>26970</v>
      </c>
      <c r="K21" s="82">
        <f t="shared" si="3"/>
        <v>0.30846153846153845</v>
      </c>
    </row>
    <row r="22" spans="1:11">
      <c r="A22" s="71">
        <v>9</v>
      </c>
      <c r="B22" s="33">
        <v>26</v>
      </c>
      <c r="C22" s="33">
        <v>3</v>
      </c>
      <c r="D22" s="33" t="s">
        <v>59</v>
      </c>
      <c r="E22" s="33" t="s">
        <v>357</v>
      </c>
      <c r="F22" s="33" t="str">
        <f t="shared" si="1"/>
        <v>OWH</v>
      </c>
      <c r="G22" s="34" t="s">
        <v>58</v>
      </c>
      <c r="H22" s="83">
        <v>39000</v>
      </c>
      <c r="I22" s="35">
        <v>31000</v>
      </c>
      <c r="J22" s="35">
        <v>26970</v>
      </c>
      <c r="K22" s="84">
        <f t="shared" si="3"/>
        <v>0.30846153846153845</v>
      </c>
    </row>
    <row r="23" spans="1:11">
      <c r="A23" s="69">
        <v>10</v>
      </c>
      <c r="B23" s="30">
        <v>26</v>
      </c>
      <c r="C23" s="30">
        <v>3</v>
      </c>
      <c r="D23" s="30" t="s">
        <v>150</v>
      </c>
      <c r="E23" s="30" t="s">
        <v>358</v>
      </c>
      <c r="F23" s="30" t="str">
        <f t="shared" si="1"/>
        <v>BLK</v>
      </c>
      <c r="G23" s="31" t="s">
        <v>151</v>
      </c>
      <c r="H23" s="87">
        <v>39000</v>
      </c>
      <c r="I23" s="32">
        <v>31000</v>
      </c>
      <c r="J23" s="32">
        <v>26970</v>
      </c>
      <c r="K23" s="88">
        <f t="shared" si="3"/>
        <v>0.30846153846153845</v>
      </c>
    </row>
    <row r="24" spans="1:11">
      <c r="A24" s="70">
        <v>10</v>
      </c>
      <c r="B24" s="27">
        <v>26</v>
      </c>
      <c r="C24" s="27">
        <v>3</v>
      </c>
      <c r="D24" s="27" t="s">
        <v>150</v>
      </c>
      <c r="E24" s="27" t="s">
        <v>359</v>
      </c>
      <c r="F24" s="27" t="str">
        <f t="shared" si="1"/>
        <v>BLU</v>
      </c>
      <c r="G24" s="28" t="s">
        <v>151</v>
      </c>
      <c r="H24" s="81">
        <v>39000</v>
      </c>
      <c r="I24" s="29">
        <v>31000</v>
      </c>
      <c r="J24" s="29">
        <v>26970</v>
      </c>
      <c r="K24" s="82">
        <f t="shared" si="3"/>
        <v>0.30846153846153845</v>
      </c>
    </row>
    <row r="25" spans="1:11">
      <c r="A25" s="71">
        <v>10</v>
      </c>
      <c r="B25" s="52">
        <v>26</v>
      </c>
      <c r="C25" s="52">
        <v>3</v>
      </c>
      <c r="D25" s="52" t="s">
        <v>150</v>
      </c>
      <c r="E25" s="52" t="s">
        <v>360</v>
      </c>
      <c r="F25" s="52" t="str">
        <f t="shared" si="1"/>
        <v>IVY</v>
      </c>
      <c r="G25" s="53" t="s">
        <v>151</v>
      </c>
      <c r="H25" s="89">
        <v>39000</v>
      </c>
      <c r="I25" s="54">
        <v>31000</v>
      </c>
      <c r="J25" s="54">
        <v>26970</v>
      </c>
      <c r="K25" s="90">
        <f t="shared" si="3"/>
        <v>0.30846153846153845</v>
      </c>
    </row>
    <row r="26" spans="1:11">
      <c r="A26" s="69">
        <v>11</v>
      </c>
      <c r="B26" s="45">
        <v>26</v>
      </c>
      <c r="C26" s="45">
        <v>3</v>
      </c>
      <c r="D26" s="45" t="s">
        <v>81</v>
      </c>
      <c r="E26" s="45" t="s">
        <v>361</v>
      </c>
      <c r="F26" s="45" t="str">
        <f t="shared" si="1"/>
        <v>DGY</v>
      </c>
      <c r="G26" s="46" t="s">
        <v>82</v>
      </c>
      <c r="H26" s="79">
        <v>39000</v>
      </c>
      <c r="I26" s="47">
        <v>31000</v>
      </c>
      <c r="J26" s="47">
        <v>26970</v>
      </c>
      <c r="K26" s="80">
        <f t="shared" si="3"/>
        <v>0.30846153846153845</v>
      </c>
    </row>
    <row r="27" spans="1:11">
      <c r="A27" s="70">
        <v>11</v>
      </c>
      <c r="B27" s="27">
        <v>26</v>
      </c>
      <c r="C27" s="27">
        <v>3</v>
      </c>
      <c r="D27" s="27" t="s">
        <v>81</v>
      </c>
      <c r="E27" s="27" t="s">
        <v>362</v>
      </c>
      <c r="F27" s="27" t="str">
        <f t="shared" si="1"/>
        <v>LGN</v>
      </c>
      <c r="G27" s="28" t="s">
        <v>82</v>
      </c>
      <c r="H27" s="81">
        <v>39000</v>
      </c>
      <c r="I27" s="29">
        <v>31000</v>
      </c>
      <c r="J27" s="29">
        <v>26970</v>
      </c>
      <c r="K27" s="82">
        <f t="shared" si="3"/>
        <v>0.30846153846153845</v>
      </c>
    </row>
    <row r="28" spans="1:11">
      <c r="A28" s="71">
        <v>11</v>
      </c>
      <c r="B28" s="33">
        <v>26</v>
      </c>
      <c r="C28" s="33">
        <v>3</v>
      </c>
      <c r="D28" s="33" t="s">
        <v>81</v>
      </c>
      <c r="E28" s="33" t="s">
        <v>363</v>
      </c>
      <c r="F28" s="33" t="str">
        <f t="shared" si="1"/>
        <v>MWH</v>
      </c>
      <c r="G28" s="34" t="s">
        <v>82</v>
      </c>
      <c r="H28" s="83">
        <v>39000</v>
      </c>
      <c r="I28" s="35">
        <v>31000</v>
      </c>
      <c r="J28" s="35">
        <v>26970</v>
      </c>
      <c r="K28" s="84">
        <f t="shared" si="3"/>
        <v>0.30846153846153845</v>
      </c>
    </row>
    <row r="29" spans="1:11">
      <c r="A29" s="69">
        <v>12</v>
      </c>
      <c r="B29" s="45">
        <v>26</v>
      </c>
      <c r="C29" s="45">
        <v>3</v>
      </c>
      <c r="D29" s="45" t="s">
        <v>52</v>
      </c>
      <c r="E29" s="45" t="s">
        <v>367</v>
      </c>
      <c r="F29" s="45" t="str">
        <f t="shared" si="1"/>
        <v>GRY</v>
      </c>
      <c r="G29" s="46" t="s">
        <v>53</v>
      </c>
      <c r="H29" s="79">
        <v>39000</v>
      </c>
      <c r="I29" s="47">
        <v>31000</v>
      </c>
      <c r="J29" s="47">
        <v>26970</v>
      </c>
      <c r="K29" s="80">
        <f t="shared" si="3"/>
        <v>0.30846153846153845</v>
      </c>
    </row>
    <row r="30" spans="1:11">
      <c r="A30" s="70">
        <v>12</v>
      </c>
      <c r="B30" s="27">
        <v>26</v>
      </c>
      <c r="C30" s="27">
        <v>3</v>
      </c>
      <c r="D30" s="27" t="s">
        <v>52</v>
      </c>
      <c r="E30" s="27" t="s">
        <v>368</v>
      </c>
      <c r="F30" s="27" t="str">
        <f t="shared" si="1"/>
        <v>MLG</v>
      </c>
      <c r="G30" s="28" t="s">
        <v>53</v>
      </c>
      <c r="H30" s="81">
        <v>39000</v>
      </c>
      <c r="I30" s="29">
        <v>31000</v>
      </c>
      <c r="J30" s="29">
        <v>26970</v>
      </c>
      <c r="K30" s="82">
        <f t="shared" si="3"/>
        <v>0.30846153846153845</v>
      </c>
    </row>
    <row r="31" spans="1:11">
      <c r="A31" s="71">
        <v>12</v>
      </c>
      <c r="B31" s="33">
        <v>26</v>
      </c>
      <c r="C31" s="33">
        <v>3</v>
      </c>
      <c r="D31" s="33" t="s">
        <v>52</v>
      </c>
      <c r="E31" s="33" t="s">
        <v>369</v>
      </c>
      <c r="F31" s="33" t="str">
        <f t="shared" si="1"/>
        <v>OTM</v>
      </c>
      <c r="G31" s="34" t="s">
        <v>53</v>
      </c>
      <c r="H31" s="83">
        <v>39000</v>
      </c>
      <c r="I31" s="35">
        <v>31000</v>
      </c>
      <c r="J31" s="35">
        <v>26970</v>
      </c>
      <c r="K31" s="84">
        <f t="shared" si="3"/>
        <v>0.30846153846153845</v>
      </c>
    </row>
    <row r="32" spans="1:11">
      <c r="A32" s="69">
        <v>13</v>
      </c>
      <c r="B32" s="30">
        <v>26</v>
      </c>
      <c r="C32" s="30">
        <v>3</v>
      </c>
      <c r="D32" s="30" t="s">
        <v>42</v>
      </c>
      <c r="E32" s="30" t="s">
        <v>352</v>
      </c>
      <c r="F32" s="30" t="str">
        <f t="shared" si="1"/>
        <v>BLK</v>
      </c>
      <c r="G32" s="31" t="s">
        <v>43</v>
      </c>
      <c r="H32" s="87">
        <v>42000</v>
      </c>
      <c r="I32" s="32">
        <v>33000</v>
      </c>
      <c r="J32" s="32">
        <v>28830</v>
      </c>
      <c r="K32" s="88">
        <f t="shared" si="3"/>
        <v>0.31357142857142861</v>
      </c>
    </row>
    <row r="33" spans="1:11">
      <c r="A33" s="71">
        <v>13</v>
      </c>
      <c r="B33" s="52">
        <v>26</v>
      </c>
      <c r="C33" s="52">
        <v>3</v>
      </c>
      <c r="D33" s="52" t="s">
        <v>42</v>
      </c>
      <c r="E33" s="52" t="s">
        <v>353</v>
      </c>
      <c r="F33" s="52" t="str">
        <f t="shared" si="1"/>
        <v>BLU</v>
      </c>
      <c r="G33" s="53" t="s">
        <v>43</v>
      </c>
      <c r="H33" s="89">
        <v>42000</v>
      </c>
      <c r="I33" s="54">
        <v>33000</v>
      </c>
      <c r="J33" s="54">
        <v>28830</v>
      </c>
      <c r="K33" s="90">
        <f t="shared" si="3"/>
        <v>0.31357142857142861</v>
      </c>
    </row>
    <row r="34" spans="1:11">
      <c r="A34" s="69">
        <v>14</v>
      </c>
      <c r="B34" s="45">
        <v>26</v>
      </c>
      <c r="C34" s="45">
        <v>3</v>
      </c>
      <c r="D34" s="45" t="s">
        <v>23</v>
      </c>
      <c r="E34" s="45" t="s">
        <v>364</v>
      </c>
      <c r="F34" s="45" t="str">
        <f t="shared" si="1"/>
        <v>BLK</v>
      </c>
      <c r="G34" s="46" t="s">
        <v>22</v>
      </c>
      <c r="H34" s="79">
        <v>42000</v>
      </c>
      <c r="I34" s="47">
        <v>33000</v>
      </c>
      <c r="J34" s="47">
        <v>28830</v>
      </c>
      <c r="K34" s="80">
        <f t="shared" si="3"/>
        <v>0.31357142857142861</v>
      </c>
    </row>
    <row r="35" spans="1:11">
      <c r="A35" s="70">
        <v>14</v>
      </c>
      <c r="B35" s="27">
        <v>26</v>
      </c>
      <c r="C35" s="27">
        <v>3</v>
      </c>
      <c r="D35" s="27" t="s">
        <v>23</v>
      </c>
      <c r="E35" s="27" t="s">
        <v>365</v>
      </c>
      <c r="F35" s="27" t="str">
        <f t="shared" si="1"/>
        <v>DGY</v>
      </c>
      <c r="G35" s="28" t="s">
        <v>22</v>
      </c>
      <c r="H35" s="81">
        <v>42000</v>
      </c>
      <c r="I35" s="29">
        <v>33000</v>
      </c>
      <c r="J35" s="29">
        <v>28830</v>
      </c>
      <c r="K35" s="82">
        <f t="shared" si="3"/>
        <v>0.31357142857142861</v>
      </c>
    </row>
    <row r="36" spans="1:11">
      <c r="A36" s="71">
        <v>14</v>
      </c>
      <c r="B36" s="33">
        <v>26</v>
      </c>
      <c r="C36" s="33">
        <v>3</v>
      </c>
      <c r="D36" s="33" t="s">
        <v>23</v>
      </c>
      <c r="E36" s="33" t="s">
        <v>366</v>
      </c>
      <c r="F36" s="33" t="str">
        <f t="shared" si="1"/>
        <v>MUS</v>
      </c>
      <c r="G36" s="34" t="s">
        <v>22</v>
      </c>
      <c r="H36" s="83">
        <v>42000</v>
      </c>
      <c r="I36" s="35">
        <v>33000</v>
      </c>
      <c r="J36" s="35">
        <v>28830</v>
      </c>
      <c r="K36" s="84">
        <f t="shared" si="3"/>
        <v>0.31357142857142861</v>
      </c>
    </row>
    <row r="37" spans="1:11">
      <c r="A37" s="69">
        <v>15</v>
      </c>
      <c r="B37" s="30">
        <v>26</v>
      </c>
      <c r="C37" s="30">
        <v>3</v>
      </c>
      <c r="D37" s="30" t="s">
        <v>15</v>
      </c>
      <c r="E37" s="30" t="s">
        <v>350</v>
      </c>
      <c r="F37" s="30" t="str">
        <f t="shared" si="1"/>
        <v>DGY</v>
      </c>
      <c r="G37" s="31" t="s">
        <v>16</v>
      </c>
      <c r="H37" s="87">
        <v>45000</v>
      </c>
      <c r="I37" s="32">
        <v>36000</v>
      </c>
      <c r="J37" s="32">
        <v>31620</v>
      </c>
      <c r="K37" s="88">
        <f t="shared" si="3"/>
        <v>0.29733333333333334</v>
      </c>
    </row>
    <row r="38" spans="1:11">
      <c r="A38" s="71">
        <v>15</v>
      </c>
      <c r="B38" s="52">
        <v>26</v>
      </c>
      <c r="C38" s="52">
        <v>3</v>
      </c>
      <c r="D38" s="52" t="s">
        <v>15</v>
      </c>
      <c r="E38" s="52" t="s">
        <v>351</v>
      </c>
      <c r="F38" s="52" t="str">
        <f t="shared" si="1"/>
        <v>LKH</v>
      </c>
      <c r="G38" s="53" t="s">
        <v>16</v>
      </c>
      <c r="H38" s="89">
        <v>45000</v>
      </c>
      <c r="I38" s="54">
        <v>36000</v>
      </c>
      <c r="J38" s="54">
        <v>31620</v>
      </c>
      <c r="K38" s="90">
        <f t="shared" si="3"/>
        <v>0.29733333333333334</v>
      </c>
    </row>
    <row r="39" spans="1:11">
      <c r="A39" s="69">
        <v>16</v>
      </c>
      <c r="B39" s="45">
        <v>24</v>
      </c>
      <c r="C39" s="45">
        <v>3</v>
      </c>
      <c r="D39" s="45" t="s">
        <v>34</v>
      </c>
      <c r="E39" s="45" t="s">
        <v>205</v>
      </c>
      <c r="F39" s="45" t="str">
        <f t="shared" si="1"/>
        <v>CHC</v>
      </c>
      <c r="G39" s="46" t="s">
        <v>35</v>
      </c>
      <c r="H39" s="79">
        <v>59000</v>
      </c>
      <c r="I39" s="47">
        <v>18000</v>
      </c>
      <c r="J39" s="47">
        <v>18000</v>
      </c>
      <c r="K39" s="80">
        <f t="shared" si="3"/>
        <v>0.69491525423728806</v>
      </c>
    </row>
    <row r="40" spans="1:11">
      <c r="A40" s="71">
        <v>16</v>
      </c>
      <c r="B40" s="33">
        <v>24</v>
      </c>
      <c r="C40" s="33">
        <v>3</v>
      </c>
      <c r="D40" s="33" t="s">
        <v>34</v>
      </c>
      <c r="E40" s="33" t="s">
        <v>206</v>
      </c>
      <c r="F40" s="33" t="str">
        <f t="shared" si="1"/>
        <v>NVY</v>
      </c>
      <c r="G40" s="34" t="s">
        <v>35</v>
      </c>
      <c r="H40" s="83">
        <v>59000</v>
      </c>
      <c r="I40" s="35">
        <v>18000</v>
      </c>
      <c r="J40" s="35">
        <v>18000</v>
      </c>
      <c r="K40" s="84">
        <f t="shared" si="3"/>
        <v>0.69491525423728806</v>
      </c>
    </row>
    <row r="41" spans="1:11">
      <c r="A41" s="69">
        <v>17</v>
      </c>
      <c r="B41" s="30">
        <v>24</v>
      </c>
      <c r="C41" s="30">
        <v>3</v>
      </c>
      <c r="D41" s="30" t="s">
        <v>113</v>
      </c>
      <c r="E41" s="30" t="s">
        <v>207</v>
      </c>
      <c r="F41" s="30" t="str">
        <f t="shared" si="1"/>
        <v>CRE</v>
      </c>
      <c r="G41" s="31" t="s">
        <v>114</v>
      </c>
      <c r="H41" s="87">
        <v>49000</v>
      </c>
      <c r="I41" s="32">
        <v>18000</v>
      </c>
      <c r="J41" s="32">
        <v>18000</v>
      </c>
      <c r="K41" s="88">
        <f t="shared" si="3"/>
        <v>0.63265306122448983</v>
      </c>
    </row>
    <row r="42" spans="1:11">
      <c r="A42" s="70">
        <v>17</v>
      </c>
      <c r="B42" s="55">
        <v>24</v>
      </c>
      <c r="C42" s="55">
        <v>3</v>
      </c>
      <c r="D42" s="55" t="s">
        <v>113</v>
      </c>
      <c r="E42" s="55" t="s">
        <v>208</v>
      </c>
      <c r="F42" s="55" t="str">
        <f t="shared" si="1"/>
        <v>NVY</v>
      </c>
      <c r="G42" s="56" t="s">
        <v>114</v>
      </c>
      <c r="H42" s="91">
        <v>49000</v>
      </c>
      <c r="I42" s="57">
        <v>18000</v>
      </c>
      <c r="J42" s="57">
        <v>18000</v>
      </c>
      <c r="K42" s="92">
        <f t="shared" si="3"/>
        <v>0.63265306122448983</v>
      </c>
    </row>
    <row r="43" spans="1:11">
      <c r="A43" s="71">
        <v>17</v>
      </c>
      <c r="B43" s="33">
        <v>24</v>
      </c>
      <c r="C43" s="33">
        <v>3</v>
      </c>
      <c r="D43" s="33" t="s">
        <v>113</v>
      </c>
      <c r="E43" s="33" t="s">
        <v>209</v>
      </c>
      <c r="F43" s="33" t="str">
        <f t="shared" si="1"/>
        <v>PNK</v>
      </c>
      <c r="G43" s="34" t="s">
        <v>114</v>
      </c>
      <c r="H43" s="83">
        <v>49000</v>
      </c>
      <c r="I43" s="35">
        <v>18000</v>
      </c>
      <c r="J43" s="35">
        <v>18000</v>
      </c>
      <c r="K43" s="84">
        <f t="shared" si="3"/>
        <v>0.63265306122448983</v>
      </c>
    </row>
    <row r="44" spans="1:11">
      <c r="A44" s="72">
        <v>18</v>
      </c>
      <c r="B44" s="58">
        <v>25</v>
      </c>
      <c r="C44" s="58">
        <v>1</v>
      </c>
      <c r="D44" s="58" t="s">
        <v>117</v>
      </c>
      <c r="E44" s="58" t="s">
        <v>245</v>
      </c>
      <c r="F44" s="58" t="str">
        <f t="shared" si="1"/>
        <v>NVY</v>
      </c>
      <c r="G44" s="50" t="s">
        <v>118</v>
      </c>
      <c r="H44" s="93">
        <v>49000</v>
      </c>
      <c r="I44" s="59">
        <v>26000</v>
      </c>
      <c r="J44" s="59">
        <v>22320</v>
      </c>
      <c r="K44" s="94">
        <f t="shared" si="3"/>
        <v>0.54448979591836733</v>
      </c>
    </row>
    <row r="45" spans="1:11">
      <c r="A45" s="69">
        <v>19</v>
      </c>
      <c r="B45" s="45">
        <v>26</v>
      </c>
      <c r="C45" s="45">
        <v>1</v>
      </c>
      <c r="D45" s="45" t="s">
        <v>119</v>
      </c>
      <c r="E45" s="45" t="s">
        <v>329</v>
      </c>
      <c r="F45" s="45" t="str">
        <f t="shared" si="1"/>
        <v>CRE</v>
      </c>
      <c r="G45" s="46" t="s">
        <v>120</v>
      </c>
      <c r="H45" s="79">
        <v>49000</v>
      </c>
      <c r="I45" s="47">
        <v>26000</v>
      </c>
      <c r="J45" s="47">
        <v>22320</v>
      </c>
      <c r="K45" s="80">
        <f t="shared" si="3"/>
        <v>0.54448979591836733</v>
      </c>
    </row>
    <row r="46" spans="1:11">
      <c r="A46" s="71">
        <v>19</v>
      </c>
      <c r="B46" s="33">
        <v>26</v>
      </c>
      <c r="C46" s="33">
        <v>1</v>
      </c>
      <c r="D46" s="33" t="s">
        <v>119</v>
      </c>
      <c r="E46" s="33" t="s">
        <v>330</v>
      </c>
      <c r="F46" s="33" t="str">
        <f t="shared" si="1"/>
        <v>MWH</v>
      </c>
      <c r="G46" s="34" t="s">
        <v>120</v>
      </c>
      <c r="H46" s="83">
        <v>49000</v>
      </c>
      <c r="I46" s="35">
        <v>26000</v>
      </c>
      <c r="J46" s="35">
        <v>22320</v>
      </c>
      <c r="K46" s="84">
        <f t="shared" si="3"/>
        <v>0.54448979591836733</v>
      </c>
    </row>
    <row r="47" spans="1:11">
      <c r="A47" s="69">
        <v>20</v>
      </c>
      <c r="B47" s="30">
        <v>25</v>
      </c>
      <c r="C47" s="30">
        <v>1</v>
      </c>
      <c r="D47" s="30" t="s">
        <v>70</v>
      </c>
      <c r="E47" s="30" t="s">
        <v>240</v>
      </c>
      <c r="F47" s="30" t="str">
        <f t="shared" si="1"/>
        <v>LKH</v>
      </c>
      <c r="G47" s="31" t="s">
        <v>71</v>
      </c>
      <c r="H47" s="87">
        <v>59000</v>
      </c>
      <c r="I47" s="32">
        <v>27000</v>
      </c>
      <c r="J47" s="32">
        <v>23250</v>
      </c>
      <c r="K47" s="88">
        <f t="shared" si="3"/>
        <v>0.60593220338983045</v>
      </c>
    </row>
    <row r="48" spans="1:11">
      <c r="A48" s="71">
        <v>20</v>
      </c>
      <c r="B48" s="52">
        <v>25</v>
      </c>
      <c r="C48" s="52">
        <v>1</v>
      </c>
      <c r="D48" s="52" t="s">
        <v>70</v>
      </c>
      <c r="E48" s="52" t="s">
        <v>241</v>
      </c>
      <c r="F48" s="52" t="str">
        <f t="shared" si="1"/>
        <v>LPU</v>
      </c>
      <c r="G48" s="53" t="s">
        <v>71</v>
      </c>
      <c r="H48" s="89">
        <v>59000</v>
      </c>
      <c r="I48" s="54">
        <v>27000</v>
      </c>
      <c r="J48" s="54">
        <v>23250</v>
      </c>
      <c r="K48" s="90">
        <f t="shared" si="3"/>
        <v>0.60593220338983045</v>
      </c>
    </row>
    <row r="49" spans="1:11">
      <c r="A49" s="69">
        <v>21</v>
      </c>
      <c r="B49" s="30">
        <v>25</v>
      </c>
      <c r="C49" s="30">
        <v>3</v>
      </c>
      <c r="D49" s="30" t="s">
        <v>145</v>
      </c>
      <c r="E49" s="30" t="s">
        <v>266</v>
      </c>
      <c r="F49" s="30" t="str">
        <f t="shared" si="1"/>
        <v>CML</v>
      </c>
      <c r="G49" s="31" t="s">
        <v>146</v>
      </c>
      <c r="H49" s="87">
        <v>59000</v>
      </c>
      <c r="I49" s="32">
        <v>27000</v>
      </c>
      <c r="J49" s="32">
        <v>23250</v>
      </c>
      <c r="K49" s="88">
        <f t="shared" si="3"/>
        <v>0.60593220338983045</v>
      </c>
    </row>
    <row r="50" spans="1:11">
      <c r="A50" s="70">
        <v>21</v>
      </c>
      <c r="B50" s="55">
        <v>25</v>
      </c>
      <c r="C50" s="55">
        <v>3</v>
      </c>
      <c r="D50" s="55" t="s">
        <v>145</v>
      </c>
      <c r="E50" s="55" t="s">
        <v>267</v>
      </c>
      <c r="F50" s="55" t="str">
        <f t="shared" si="1"/>
        <v>CRE</v>
      </c>
      <c r="G50" s="56" t="s">
        <v>146</v>
      </c>
      <c r="H50" s="91">
        <v>59000</v>
      </c>
      <c r="I50" s="57">
        <v>27000</v>
      </c>
      <c r="J50" s="57">
        <v>23250</v>
      </c>
      <c r="K50" s="92">
        <f t="shared" si="3"/>
        <v>0.60593220338983045</v>
      </c>
    </row>
    <row r="51" spans="1:11">
      <c r="A51" s="71">
        <v>21</v>
      </c>
      <c r="B51" s="33">
        <v>25</v>
      </c>
      <c r="C51" s="33">
        <v>3</v>
      </c>
      <c r="D51" s="33" t="s">
        <v>145</v>
      </c>
      <c r="E51" s="33" t="s">
        <v>268</v>
      </c>
      <c r="F51" s="33" t="str">
        <f t="shared" si="1"/>
        <v>MLG</v>
      </c>
      <c r="G51" s="34" t="s">
        <v>146</v>
      </c>
      <c r="H51" s="83">
        <v>59000</v>
      </c>
      <c r="I51" s="35">
        <v>27000</v>
      </c>
      <c r="J51" s="35">
        <v>23250</v>
      </c>
      <c r="K51" s="84">
        <f t="shared" si="3"/>
        <v>0.60593220338983045</v>
      </c>
    </row>
    <row r="52" spans="1:11">
      <c r="A52" s="69">
        <v>22</v>
      </c>
      <c r="B52" s="30">
        <v>25</v>
      </c>
      <c r="C52" s="30">
        <v>3</v>
      </c>
      <c r="D52" s="30" t="s">
        <v>54</v>
      </c>
      <c r="E52" s="30" t="s">
        <v>269</v>
      </c>
      <c r="F52" s="30" t="str">
        <f t="shared" si="1"/>
        <v>KHA</v>
      </c>
      <c r="G52" s="31" t="s">
        <v>55</v>
      </c>
      <c r="H52" s="87">
        <v>59000</v>
      </c>
      <c r="I52" s="32">
        <v>27000</v>
      </c>
      <c r="J52" s="32">
        <v>23250</v>
      </c>
      <c r="K52" s="88">
        <f t="shared" si="3"/>
        <v>0.60593220338983045</v>
      </c>
    </row>
    <row r="53" spans="1:11">
      <c r="A53" s="70">
        <v>22</v>
      </c>
      <c r="B53" s="55">
        <v>25</v>
      </c>
      <c r="C53" s="55">
        <v>3</v>
      </c>
      <c r="D53" s="55" t="s">
        <v>54</v>
      </c>
      <c r="E53" s="55" t="s">
        <v>270</v>
      </c>
      <c r="F53" s="55" t="str">
        <f t="shared" si="1"/>
        <v>MWH</v>
      </c>
      <c r="G53" s="56" t="s">
        <v>55</v>
      </c>
      <c r="H53" s="91">
        <v>59000</v>
      </c>
      <c r="I53" s="57">
        <v>27000</v>
      </c>
      <c r="J53" s="57">
        <v>23250</v>
      </c>
      <c r="K53" s="92">
        <f t="shared" si="3"/>
        <v>0.60593220338983045</v>
      </c>
    </row>
    <row r="54" spans="1:11">
      <c r="A54" s="71">
        <v>22</v>
      </c>
      <c r="B54" s="33">
        <v>25</v>
      </c>
      <c r="C54" s="33">
        <v>3</v>
      </c>
      <c r="D54" s="33" t="s">
        <v>54</v>
      </c>
      <c r="E54" s="33" t="s">
        <v>271</v>
      </c>
      <c r="F54" s="33" t="str">
        <f t="shared" si="1"/>
        <v>NVY</v>
      </c>
      <c r="G54" s="34" t="s">
        <v>55</v>
      </c>
      <c r="H54" s="83">
        <v>59000</v>
      </c>
      <c r="I54" s="35">
        <v>27000</v>
      </c>
      <c r="J54" s="35">
        <v>23250</v>
      </c>
      <c r="K54" s="84">
        <f t="shared" si="3"/>
        <v>0.60593220338983045</v>
      </c>
    </row>
    <row r="55" spans="1:11">
      <c r="A55" s="69">
        <v>23</v>
      </c>
      <c r="B55" s="30">
        <v>25</v>
      </c>
      <c r="C55" s="30">
        <v>3</v>
      </c>
      <c r="D55" s="30" t="s">
        <v>109</v>
      </c>
      <c r="E55" s="30" t="s">
        <v>272</v>
      </c>
      <c r="F55" s="30" t="str">
        <f t="shared" si="1"/>
        <v>OTM</v>
      </c>
      <c r="G55" s="31" t="s">
        <v>110</v>
      </c>
      <c r="H55" s="87">
        <v>49000</v>
      </c>
      <c r="I55" s="32">
        <v>27000</v>
      </c>
      <c r="J55" s="32">
        <v>23250</v>
      </c>
      <c r="K55" s="88">
        <f t="shared" si="3"/>
        <v>0.52551020408163263</v>
      </c>
    </row>
    <row r="56" spans="1:11">
      <c r="A56" s="71">
        <v>23</v>
      </c>
      <c r="B56" s="52">
        <v>25</v>
      </c>
      <c r="C56" s="52">
        <v>3</v>
      </c>
      <c r="D56" s="52" t="s">
        <v>109</v>
      </c>
      <c r="E56" s="52" t="s">
        <v>273</v>
      </c>
      <c r="F56" s="52" t="str">
        <f t="shared" si="1"/>
        <v>PNK</v>
      </c>
      <c r="G56" s="53" t="s">
        <v>110</v>
      </c>
      <c r="H56" s="89">
        <v>49000</v>
      </c>
      <c r="I56" s="54">
        <v>27000</v>
      </c>
      <c r="J56" s="54">
        <v>23250</v>
      </c>
      <c r="K56" s="90">
        <f t="shared" si="3"/>
        <v>0.52551020408163263</v>
      </c>
    </row>
    <row r="57" spans="1:11">
      <c r="A57" s="69">
        <v>24</v>
      </c>
      <c r="B57" s="45">
        <v>25</v>
      </c>
      <c r="C57" s="45">
        <v>1</v>
      </c>
      <c r="D57" s="45" t="s">
        <v>147</v>
      </c>
      <c r="E57" s="45" t="s">
        <v>238</v>
      </c>
      <c r="F57" s="45" t="str">
        <f t="shared" si="1"/>
        <v>CRE</v>
      </c>
      <c r="G57" s="46" t="s">
        <v>148</v>
      </c>
      <c r="H57" s="79">
        <v>55000</v>
      </c>
      <c r="I57" s="47">
        <v>30000</v>
      </c>
      <c r="J57" s="47">
        <v>26040</v>
      </c>
      <c r="K57" s="80">
        <f t="shared" si="3"/>
        <v>0.52654545454545454</v>
      </c>
    </row>
    <row r="58" spans="1:11">
      <c r="A58" s="71">
        <v>24</v>
      </c>
      <c r="B58" s="33">
        <v>25</v>
      </c>
      <c r="C58" s="33">
        <v>1</v>
      </c>
      <c r="D58" s="33" t="s">
        <v>147</v>
      </c>
      <c r="E58" s="33" t="s">
        <v>239</v>
      </c>
      <c r="F58" s="33" t="str">
        <f t="shared" si="1"/>
        <v>MWH</v>
      </c>
      <c r="G58" s="34" t="s">
        <v>148</v>
      </c>
      <c r="H58" s="83">
        <v>55000</v>
      </c>
      <c r="I58" s="35">
        <v>30000</v>
      </c>
      <c r="J58" s="35">
        <v>26040</v>
      </c>
      <c r="K58" s="84">
        <f t="shared" si="3"/>
        <v>0.52654545454545454</v>
      </c>
    </row>
    <row r="59" spans="1:11">
      <c r="A59" s="69">
        <v>25</v>
      </c>
      <c r="B59" s="45">
        <v>25</v>
      </c>
      <c r="C59" s="45">
        <v>3</v>
      </c>
      <c r="D59" s="45" t="s">
        <v>83</v>
      </c>
      <c r="E59" s="45" t="s">
        <v>263</v>
      </c>
      <c r="F59" s="45" t="str">
        <f t="shared" si="1"/>
        <v>BLK</v>
      </c>
      <c r="G59" s="46" t="s">
        <v>84</v>
      </c>
      <c r="H59" s="79">
        <v>55000</v>
      </c>
      <c r="I59" s="47">
        <v>30000</v>
      </c>
      <c r="J59" s="47">
        <v>26040</v>
      </c>
      <c r="K59" s="80">
        <f t="shared" si="3"/>
        <v>0.52654545454545454</v>
      </c>
    </row>
    <row r="60" spans="1:11">
      <c r="A60" s="70">
        <v>25</v>
      </c>
      <c r="B60" s="27">
        <v>25</v>
      </c>
      <c r="C60" s="27">
        <v>3</v>
      </c>
      <c r="D60" s="27" t="s">
        <v>83</v>
      </c>
      <c r="E60" s="27" t="s">
        <v>264</v>
      </c>
      <c r="F60" s="27" t="str">
        <f t="shared" si="1"/>
        <v>MWH</v>
      </c>
      <c r="G60" s="28" t="s">
        <v>84</v>
      </c>
      <c r="H60" s="81">
        <v>55000</v>
      </c>
      <c r="I60" s="29">
        <v>30000</v>
      </c>
      <c r="J60" s="29">
        <v>26040</v>
      </c>
      <c r="K60" s="82">
        <f t="shared" si="3"/>
        <v>0.52654545454545454</v>
      </c>
    </row>
    <row r="61" spans="1:11">
      <c r="A61" s="71">
        <v>25</v>
      </c>
      <c r="B61" s="33">
        <v>25</v>
      </c>
      <c r="C61" s="33">
        <v>3</v>
      </c>
      <c r="D61" s="33" t="s">
        <v>83</v>
      </c>
      <c r="E61" s="33" t="s">
        <v>265</v>
      </c>
      <c r="F61" s="33" t="str">
        <f t="shared" si="1"/>
        <v>OTM</v>
      </c>
      <c r="G61" s="34" t="s">
        <v>84</v>
      </c>
      <c r="H61" s="83">
        <v>55000</v>
      </c>
      <c r="I61" s="35">
        <v>30000</v>
      </c>
      <c r="J61" s="35">
        <v>26040</v>
      </c>
      <c r="K61" s="84">
        <f t="shared" si="3"/>
        <v>0.52654545454545454</v>
      </c>
    </row>
    <row r="62" spans="1:11">
      <c r="A62" s="69">
        <v>26</v>
      </c>
      <c r="B62" s="45">
        <v>25</v>
      </c>
      <c r="C62" s="45">
        <v>3</v>
      </c>
      <c r="D62" s="45" t="s">
        <v>135</v>
      </c>
      <c r="E62" s="45" t="s">
        <v>274</v>
      </c>
      <c r="F62" s="45" t="str">
        <f t="shared" si="1"/>
        <v>BLK</v>
      </c>
      <c r="G62" s="46" t="s">
        <v>136</v>
      </c>
      <c r="H62" s="79">
        <v>55000</v>
      </c>
      <c r="I62" s="47">
        <v>30000</v>
      </c>
      <c r="J62" s="47">
        <v>26040</v>
      </c>
      <c r="K62" s="80">
        <f t="shared" si="3"/>
        <v>0.52654545454545454</v>
      </c>
    </row>
    <row r="63" spans="1:11">
      <c r="A63" s="71">
        <v>26</v>
      </c>
      <c r="B63" s="33">
        <v>25</v>
      </c>
      <c r="C63" s="33">
        <v>3</v>
      </c>
      <c r="D63" s="33" t="s">
        <v>135</v>
      </c>
      <c r="E63" s="33" t="s">
        <v>275</v>
      </c>
      <c r="F63" s="33" t="str">
        <f t="shared" si="1"/>
        <v>MWH</v>
      </c>
      <c r="G63" s="34" t="s">
        <v>136</v>
      </c>
      <c r="H63" s="83">
        <v>55000</v>
      </c>
      <c r="I63" s="35">
        <v>30000</v>
      </c>
      <c r="J63" s="35">
        <v>26040</v>
      </c>
      <c r="K63" s="84">
        <f t="shared" si="3"/>
        <v>0.52654545454545454</v>
      </c>
    </row>
    <row r="64" spans="1:11">
      <c r="A64" s="69">
        <v>27</v>
      </c>
      <c r="B64" s="30">
        <v>26</v>
      </c>
      <c r="C64" s="30">
        <v>1</v>
      </c>
      <c r="D64" s="30" t="s">
        <v>32</v>
      </c>
      <c r="E64" s="30" t="s">
        <v>325</v>
      </c>
      <c r="F64" s="30" t="str">
        <f t="shared" si="1"/>
        <v>DNY</v>
      </c>
      <c r="G64" s="31" t="s">
        <v>33</v>
      </c>
      <c r="H64" s="87">
        <v>59000</v>
      </c>
      <c r="I64" s="32">
        <v>31000</v>
      </c>
      <c r="J64" s="32">
        <v>26970</v>
      </c>
      <c r="K64" s="88">
        <f t="shared" si="3"/>
        <v>0.54288135593220344</v>
      </c>
    </row>
    <row r="65" spans="1:11">
      <c r="A65" s="70">
        <v>27</v>
      </c>
      <c r="B65" s="27">
        <v>26</v>
      </c>
      <c r="C65" s="27">
        <v>1</v>
      </c>
      <c r="D65" s="27" t="s">
        <v>32</v>
      </c>
      <c r="E65" s="27" t="s">
        <v>326</v>
      </c>
      <c r="F65" s="27" t="str">
        <f t="shared" si="1"/>
        <v>MIN</v>
      </c>
      <c r="G65" s="28" t="s">
        <v>33</v>
      </c>
      <c r="H65" s="81">
        <v>59000</v>
      </c>
      <c r="I65" s="29">
        <v>31000</v>
      </c>
      <c r="J65" s="29">
        <v>26970</v>
      </c>
      <c r="K65" s="82">
        <f t="shared" si="3"/>
        <v>0.54288135593220344</v>
      </c>
    </row>
    <row r="66" spans="1:11">
      <c r="A66" s="70">
        <v>27</v>
      </c>
      <c r="B66" s="55">
        <v>26</v>
      </c>
      <c r="C66" s="55">
        <v>1</v>
      </c>
      <c r="D66" s="55" t="s">
        <v>32</v>
      </c>
      <c r="E66" s="55" t="s">
        <v>327</v>
      </c>
      <c r="F66" s="55" t="str">
        <f t="shared" si="1"/>
        <v>MLG</v>
      </c>
      <c r="G66" s="56" t="s">
        <v>33</v>
      </c>
      <c r="H66" s="91">
        <v>59000</v>
      </c>
      <c r="I66" s="57">
        <v>31000</v>
      </c>
      <c r="J66" s="57">
        <v>26970</v>
      </c>
      <c r="K66" s="92">
        <f t="shared" si="3"/>
        <v>0.54288135593220344</v>
      </c>
    </row>
    <row r="67" spans="1:11">
      <c r="A67" s="71">
        <v>27</v>
      </c>
      <c r="B67" s="33">
        <v>26</v>
      </c>
      <c r="C67" s="33">
        <v>1</v>
      </c>
      <c r="D67" s="33" t="s">
        <v>32</v>
      </c>
      <c r="E67" s="33" t="s">
        <v>328</v>
      </c>
      <c r="F67" s="33" t="str">
        <f t="shared" si="1"/>
        <v>OTM</v>
      </c>
      <c r="G67" s="34" t="s">
        <v>33</v>
      </c>
      <c r="H67" s="83">
        <v>59000</v>
      </c>
      <c r="I67" s="35">
        <v>31000</v>
      </c>
      <c r="J67" s="35">
        <v>26970</v>
      </c>
      <c r="K67" s="84">
        <f t="shared" si="3"/>
        <v>0.54288135593220344</v>
      </c>
    </row>
    <row r="68" spans="1:11">
      <c r="A68" s="69">
        <v>28</v>
      </c>
      <c r="B68" s="45">
        <v>25</v>
      </c>
      <c r="C68" s="45">
        <v>1</v>
      </c>
      <c r="D68" s="45" t="s">
        <v>48</v>
      </c>
      <c r="E68" s="45" t="s">
        <v>242</v>
      </c>
      <c r="F68" s="45" t="str">
        <f t="shared" si="1"/>
        <v>BLK</v>
      </c>
      <c r="G68" s="46" t="s">
        <v>49</v>
      </c>
      <c r="H68" s="79">
        <v>59000</v>
      </c>
      <c r="I68" s="47">
        <v>32000</v>
      </c>
      <c r="J68" s="47">
        <v>27900</v>
      </c>
      <c r="K68" s="80">
        <f t="shared" si="3"/>
        <v>0.52711864406779663</v>
      </c>
    </row>
    <row r="69" spans="1:11">
      <c r="A69" s="70">
        <v>28</v>
      </c>
      <c r="B69" s="27">
        <v>25</v>
      </c>
      <c r="C69" s="27">
        <v>1</v>
      </c>
      <c r="D69" s="27" t="s">
        <v>48</v>
      </c>
      <c r="E69" s="27" t="s">
        <v>243</v>
      </c>
      <c r="F69" s="27" t="str">
        <f t="shared" si="1"/>
        <v>LBL</v>
      </c>
      <c r="G69" s="28" t="s">
        <v>49</v>
      </c>
      <c r="H69" s="81">
        <v>59000</v>
      </c>
      <c r="I69" s="29">
        <v>32000</v>
      </c>
      <c r="J69" s="29">
        <v>27900</v>
      </c>
      <c r="K69" s="82">
        <f t="shared" si="3"/>
        <v>0.52711864406779663</v>
      </c>
    </row>
    <row r="70" spans="1:11">
      <c r="A70" s="71">
        <v>28</v>
      </c>
      <c r="B70" s="33">
        <v>25</v>
      </c>
      <c r="C70" s="33">
        <v>1</v>
      </c>
      <c r="D70" s="33" t="s">
        <v>48</v>
      </c>
      <c r="E70" s="33" t="s">
        <v>244</v>
      </c>
      <c r="F70" s="33" t="str">
        <f t="shared" ref="F70:F133" si="4">RIGHT(E70,3)</f>
        <v>MLG</v>
      </c>
      <c r="G70" s="34" t="s">
        <v>49</v>
      </c>
      <c r="H70" s="83">
        <v>59000</v>
      </c>
      <c r="I70" s="35">
        <v>32000</v>
      </c>
      <c r="J70" s="35">
        <v>27900</v>
      </c>
      <c r="K70" s="84">
        <f t="shared" si="3"/>
        <v>0.52711864406779663</v>
      </c>
    </row>
    <row r="71" spans="1:11">
      <c r="A71" s="69">
        <v>29</v>
      </c>
      <c r="B71" s="30">
        <v>26</v>
      </c>
      <c r="C71" s="30">
        <v>1</v>
      </c>
      <c r="D71" s="30" t="s">
        <v>50</v>
      </c>
      <c r="E71" s="30" t="s">
        <v>323</v>
      </c>
      <c r="F71" s="30" t="str">
        <f t="shared" si="4"/>
        <v>DNY</v>
      </c>
      <c r="G71" s="31" t="s">
        <v>51</v>
      </c>
      <c r="H71" s="87">
        <v>59000</v>
      </c>
      <c r="I71" s="32">
        <v>32000</v>
      </c>
      <c r="J71" s="32">
        <v>27900</v>
      </c>
      <c r="K71" s="88">
        <f t="shared" si="3"/>
        <v>0.52711864406779663</v>
      </c>
    </row>
    <row r="72" spans="1:11">
      <c r="A72" s="71">
        <v>29</v>
      </c>
      <c r="B72" s="52">
        <v>26</v>
      </c>
      <c r="C72" s="52">
        <v>1</v>
      </c>
      <c r="D72" s="52" t="s">
        <v>50</v>
      </c>
      <c r="E72" s="52" t="s">
        <v>324</v>
      </c>
      <c r="F72" s="52" t="str">
        <f t="shared" si="4"/>
        <v>MWH</v>
      </c>
      <c r="G72" s="53" t="s">
        <v>51</v>
      </c>
      <c r="H72" s="89">
        <v>59000</v>
      </c>
      <c r="I72" s="54">
        <v>32000</v>
      </c>
      <c r="J72" s="54">
        <v>27900</v>
      </c>
      <c r="K72" s="90">
        <f t="shared" si="3"/>
        <v>0.52711864406779663</v>
      </c>
    </row>
    <row r="73" spans="1:11">
      <c r="A73" s="69">
        <v>30</v>
      </c>
      <c r="B73" s="30">
        <v>26</v>
      </c>
      <c r="C73" s="30">
        <v>3</v>
      </c>
      <c r="D73" s="30" t="s">
        <v>97</v>
      </c>
      <c r="E73" s="30" t="s">
        <v>376</v>
      </c>
      <c r="F73" s="30" t="str">
        <f t="shared" si="4"/>
        <v>BLK</v>
      </c>
      <c r="G73" s="31" t="s">
        <v>98</v>
      </c>
      <c r="H73" s="87">
        <v>49000</v>
      </c>
      <c r="I73" s="32">
        <v>39000</v>
      </c>
      <c r="J73" s="32">
        <v>34410</v>
      </c>
      <c r="K73" s="88">
        <f t="shared" si="3"/>
        <v>0.29775510204081634</v>
      </c>
    </row>
    <row r="74" spans="1:11">
      <c r="A74" s="71">
        <v>30</v>
      </c>
      <c r="B74" s="52">
        <v>26</v>
      </c>
      <c r="C74" s="52">
        <v>3</v>
      </c>
      <c r="D74" s="52" t="s">
        <v>97</v>
      </c>
      <c r="E74" s="52" t="s">
        <v>377</v>
      </c>
      <c r="F74" s="52" t="str">
        <f t="shared" si="4"/>
        <v>BRN</v>
      </c>
      <c r="G74" s="53" t="s">
        <v>98</v>
      </c>
      <c r="H74" s="89">
        <v>49000</v>
      </c>
      <c r="I74" s="54">
        <v>39000</v>
      </c>
      <c r="J74" s="54">
        <v>34410</v>
      </c>
      <c r="K74" s="90">
        <f t="shared" si="3"/>
        <v>0.29775510204081634</v>
      </c>
    </row>
    <row r="75" spans="1:11">
      <c r="A75" s="69">
        <v>31</v>
      </c>
      <c r="B75" s="45">
        <v>26</v>
      </c>
      <c r="C75" s="45">
        <v>3</v>
      </c>
      <c r="D75" s="45" t="s">
        <v>149</v>
      </c>
      <c r="E75" s="45" t="s">
        <v>370</v>
      </c>
      <c r="F75" s="45" t="str">
        <f t="shared" si="4"/>
        <v>BLK</v>
      </c>
      <c r="G75" s="46" t="s">
        <v>148</v>
      </c>
      <c r="H75" s="79">
        <v>59000</v>
      </c>
      <c r="I75" s="47">
        <v>47000</v>
      </c>
      <c r="J75" s="47">
        <v>41850</v>
      </c>
      <c r="K75" s="80">
        <f t="shared" si="3"/>
        <v>0.29067796610169494</v>
      </c>
    </row>
    <row r="76" spans="1:11">
      <c r="A76" s="70">
        <v>31</v>
      </c>
      <c r="B76" s="27">
        <v>26</v>
      </c>
      <c r="C76" s="27">
        <v>3</v>
      </c>
      <c r="D76" s="27" t="s">
        <v>149</v>
      </c>
      <c r="E76" s="27" t="s">
        <v>371</v>
      </c>
      <c r="F76" s="27" t="str">
        <f t="shared" si="4"/>
        <v>LBL</v>
      </c>
      <c r="G76" s="28" t="s">
        <v>148</v>
      </c>
      <c r="H76" s="81">
        <v>59000</v>
      </c>
      <c r="I76" s="29">
        <v>47000</v>
      </c>
      <c r="J76" s="29">
        <v>41850</v>
      </c>
      <c r="K76" s="82">
        <f t="shared" si="3"/>
        <v>0.29067796610169494</v>
      </c>
    </row>
    <row r="77" spans="1:11">
      <c r="A77" s="71">
        <v>31</v>
      </c>
      <c r="B77" s="33">
        <v>26</v>
      </c>
      <c r="C77" s="33">
        <v>3</v>
      </c>
      <c r="D77" s="33" t="s">
        <v>149</v>
      </c>
      <c r="E77" s="33" t="s">
        <v>372</v>
      </c>
      <c r="F77" s="33" t="str">
        <f t="shared" si="4"/>
        <v>OTM</v>
      </c>
      <c r="G77" s="34" t="s">
        <v>148</v>
      </c>
      <c r="H77" s="83">
        <v>59000</v>
      </c>
      <c r="I77" s="35">
        <v>47000</v>
      </c>
      <c r="J77" s="35">
        <v>41850</v>
      </c>
      <c r="K77" s="84">
        <f t="shared" si="3"/>
        <v>0.29067796610169494</v>
      </c>
    </row>
    <row r="78" spans="1:11" s="21" customFormat="1">
      <c r="A78" s="69">
        <v>32</v>
      </c>
      <c r="B78" s="30">
        <v>26</v>
      </c>
      <c r="C78" s="30">
        <v>3</v>
      </c>
      <c r="D78" s="30" t="s">
        <v>44</v>
      </c>
      <c r="E78" s="30" t="s">
        <v>373</v>
      </c>
      <c r="F78" s="30" t="str">
        <f t="shared" si="4"/>
        <v>CRE</v>
      </c>
      <c r="G78" s="31" t="s">
        <v>45</v>
      </c>
      <c r="H78" s="87">
        <v>59000</v>
      </c>
      <c r="I78" s="32">
        <v>47000</v>
      </c>
      <c r="J78" s="32">
        <v>41850</v>
      </c>
      <c r="K78" s="88">
        <f t="shared" ref="K78:K141" si="5">1-J78/H78</f>
        <v>0.29067796610169494</v>
      </c>
    </row>
    <row r="79" spans="1:11">
      <c r="A79" s="70">
        <v>32</v>
      </c>
      <c r="B79" s="27">
        <v>26</v>
      </c>
      <c r="C79" s="27">
        <v>3</v>
      </c>
      <c r="D79" s="27" t="s">
        <v>44</v>
      </c>
      <c r="E79" s="27" t="s">
        <v>374</v>
      </c>
      <c r="F79" s="27" t="str">
        <f t="shared" si="4"/>
        <v>MLG</v>
      </c>
      <c r="G79" s="28" t="s">
        <v>45</v>
      </c>
      <c r="H79" s="81">
        <v>59000</v>
      </c>
      <c r="I79" s="29">
        <v>47000</v>
      </c>
      <c r="J79" s="29">
        <v>41850</v>
      </c>
      <c r="K79" s="82">
        <f t="shared" si="5"/>
        <v>0.29067796610169494</v>
      </c>
    </row>
    <row r="80" spans="1:11" s="18" customFormat="1">
      <c r="A80" s="71">
        <v>32</v>
      </c>
      <c r="B80" s="52">
        <v>26</v>
      </c>
      <c r="C80" s="52">
        <v>3</v>
      </c>
      <c r="D80" s="52" t="s">
        <v>44</v>
      </c>
      <c r="E80" s="52" t="s">
        <v>375</v>
      </c>
      <c r="F80" s="52" t="str">
        <f t="shared" si="4"/>
        <v>NVY</v>
      </c>
      <c r="G80" s="53" t="s">
        <v>45</v>
      </c>
      <c r="H80" s="89">
        <v>59000</v>
      </c>
      <c r="I80" s="54">
        <v>47000</v>
      </c>
      <c r="J80" s="54">
        <v>41850</v>
      </c>
      <c r="K80" s="90">
        <f t="shared" si="5"/>
        <v>0.29067796610169494</v>
      </c>
    </row>
    <row r="81" spans="1:11" s="18" customFormat="1">
      <c r="A81" s="69">
        <v>33</v>
      </c>
      <c r="B81" s="39">
        <v>24</v>
      </c>
      <c r="C81" s="39">
        <v>3</v>
      </c>
      <c r="D81" s="39" t="s">
        <v>121</v>
      </c>
      <c r="E81" s="39" t="s">
        <v>210</v>
      </c>
      <c r="F81" s="39" t="str">
        <f t="shared" si="4"/>
        <v>CRE</v>
      </c>
      <c r="G81" s="40" t="s">
        <v>122</v>
      </c>
      <c r="H81" s="95">
        <v>65000</v>
      </c>
      <c r="I81" s="41">
        <v>23000</v>
      </c>
      <c r="J81" s="32">
        <v>19530</v>
      </c>
      <c r="K81" s="96">
        <f t="shared" si="5"/>
        <v>0.69953846153846155</v>
      </c>
    </row>
    <row r="82" spans="1:11">
      <c r="A82" s="71">
        <v>33</v>
      </c>
      <c r="B82" s="60">
        <v>24</v>
      </c>
      <c r="C82" s="60">
        <v>3</v>
      </c>
      <c r="D82" s="60" t="s">
        <v>121</v>
      </c>
      <c r="E82" s="60" t="s">
        <v>211</v>
      </c>
      <c r="F82" s="60" t="str">
        <f t="shared" si="4"/>
        <v>NVY</v>
      </c>
      <c r="G82" s="61" t="s">
        <v>122</v>
      </c>
      <c r="H82" s="97">
        <v>65000</v>
      </c>
      <c r="I82" s="62">
        <v>23000</v>
      </c>
      <c r="J82" s="54">
        <v>19530</v>
      </c>
      <c r="K82" s="98">
        <f t="shared" si="5"/>
        <v>0.69953846153846155</v>
      </c>
    </row>
    <row r="83" spans="1:11">
      <c r="A83" s="69">
        <v>34</v>
      </c>
      <c r="B83" s="30">
        <v>25</v>
      </c>
      <c r="C83" s="30">
        <v>3</v>
      </c>
      <c r="D83" s="30" t="s">
        <v>166</v>
      </c>
      <c r="E83" s="30" t="s">
        <v>278</v>
      </c>
      <c r="F83" s="30" t="str">
        <f t="shared" si="4"/>
        <v>KHA</v>
      </c>
      <c r="G83" s="31" t="s">
        <v>167</v>
      </c>
      <c r="H83" s="87">
        <v>65000</v>
      </c>
      <c r="I83" s="32">
        <v>27000</v>
      </c>
      <c r="J83" s="32">
        <v>23250</v>
      </c>
      <c r="K83" s="88">
        <f t="shared" si="5"/>
        <v>0.64230769230769225</v>
      </c>
    </row>
    <row r="84" spans="1:11">
      <c r="A84" s="70">
        <v>34</v>
      </c>
      <c r="B84" s="55">
        <v>25</v>
      </c>
      <c r="C84" s="55">
        <v>3</v>
      </c>
      <c r="D84" s="55" t="s">
        <v>166</v>
      </c>
      <c r="E84" s="55" t="s">
        <v>279</v>
      </c>
      <c r="F84" s="55" t="str">
        <f t="shared" si="4"/>
        <v>MLG</v>
      </c>
      <c r="G84" s="56" t="s">
        <v>167</v>
      </c>
      <c r="H84" s="91">
        <v>65000</v>
      </c>
      <c r="I84" s="57">
        <v>27000</v>
      </c>
      <c r="J84" s="57">
        <v>23250</v>
      </c>
      <c r="K84" s="92">
        <f t="shared" si="5"/>
        <v>0.64230769230769225</v>
      </c>
    </row>
    <row r="85" spans="1:11">
      <c r="A85" s="71">
        <v>34</v>
      </c>
      <c r="B85" s="33">
        <v>25</v>
      </c>
      <c r="C85" s="33">
        <v>3</v>
      </c>
      <c r="D85" s="33" t="s">
        <v>166</v>
      </c>
      <c r="E85" s="33" t="s">
        <v>280</v>
      </c>
      <c r="F85" s="33" t="str">
        <f t="shared" si="4"/>
        <v>NVY</v>
      </c>
      <c r="G85" s="34" t="s">
        <v>167</v>
      </c>
      <c r="H85" s="83">
        <v>65000</v>
      </c>
      <c r="I85" s="35">
        <v>27000</v>
      </c>
      <c r="J85" s="35">
        <v>23250</v>
      </c>
      <c r="K85" s="84">
        <f t="shared" si="5"/>
        <v>0.64230769230769225</v>
      </c>
    </row>
    <row r="86" spans="1:11">
      <c r="A86" s="69">
        <v>35</v>
      </c>
      <c r="B86" s="30">
        <v>25</v>
      </c>
      <c r="C86" s="30">
        <v>3</v>
      </c>
      <c r="D86" s="30" t="s">
        <v>40</v>
      </c>
      <c r="E86" s="30" t="s">
        <v>281</v>
      </c>
      <c r="F86" s="30" t="str">
        <f t="shared" si="4"/>
        <v>DGY</v>
      </c>
      <c r="G86" s="31" t="s">
        <v>41</v>
      </c>
      <c r="H86" s="87">
        <v>65000</v>
      </c>
      <c r="I86" s="32">
        <v>27000</v>
      </c>
      <c r="J86" s="32">
        <v>23250</v>
      </c>
      <c r="K86" s="88">
        <f t="shared" si="5"/>
        <v>0.64230769230769225</v>
      </c>
    </row>
    <row r="87" spans="1:11">
      <c r="A87" s="71">
        <v>35</v>
      </c>
      <c r="B87" s="52">
        <v>25</v>
      </c>
      <c r="C87" s="52">
        <v>3</v>
      </c>
      <c r="D87" s="52" t="s">
        <v>40</v>
      </c>
      <c r="E87" s="52" t="s">
        <v>282</v>
      </c>
      <c r="F87" s="52" t="str">
        <f t="shared" si="4"/>
        <v>MWH</v>
      </c>
      <c r="G87" s="53" t="s">
        <v>41</v>
      </c>
      <c r="H87" s="89">
        <v>65000</v>
      </c>
      <c r="I87" s="54">
        <v>27000</v>
      </c>
      <c r="J87" s="54">
        <v>23250</v>
      </c>
      <c r="K87" s="90">
        <f t="shared" si="5"/>
        <v>0.64230769230769225</v>
      </c>
    </row>
    <row r="88" spans="1:11">
      <c r="A88" s="69">
        <v>36</v>
      </c>
      <c r="B88" s="45">
        <v>25</v>
      </c>
      <c r="C88" s="45">
        <v>3</v>
      </c>
      <c r="D88" s="45" t="s">
        <v>101</v>
      </c>
      <c r="E88" s="45" t="s">
        <v>283</v>
      </c>
      <c r="F88" s="45" t="str">
        <f t="shared" si="4"/>
        <v>CRE</v>
      </c>
      <c r="G88" s="46" t="s">
        <v>102</v>
      </c>
      <c r="H88" s="79">
        <v>62000</v>
      </c>
      <c r="I88" s="47">
        <v>27000</v>
      </c>
      <c r="J88" s="47">
        <v>23250</v>
      </c>
      <c r="K88" s="80">
        <f t="shared" si="5"/>
        <v>0.625</v>
      </c>
    </row>
    <row r="89" spans="1:11">
      <c r="A89" s="71">
        <v>36</v>
      </c>
      <c r="B89" s="33">
        <v>25</v>
      </c>
      <c r="C89" s="33">
        <v>3</v>
      </c>
      <c r="D89" s="33" t="s">
        <v>101</v>
      </c>
      <c r="E89" s="33" t="s">
        <v>284</v>
      </c>
      <c r="F89" s="33" t="str">
        <f t="shared" si="4"/>
        <v>PNK</v>
      </c>
      <c r="G89" s="34" t="s">
        <v>102</v>
      </c>
      <c r="H89" s="83">
        <v>62000</v>
      </c>
      <c r="I89" s="35">
        <v>27000</v>
      </c>
      <c r="J89" s="35">
        <v>23250</v>
      </c>
      <c r="K89" s="84">
        <f t="shared" si="5"/>
        <v>0.625</v>
      </c>
    </row>
    <row r="90" spans="1:11">
      <c r="A90" s="72">
        <v>37</v>
      </c>
      <c r="B90" s="58">
        <v>26</v>
      </c>
      <c r="C90" s="58">
        <v>1</v>
      </c>
      <c r="D90" s="58" t="s">
        <v>39</v>
      </c>
      <c r="E90" s="58" t="s">
        <v>331</v>
      </c>
      <c r="F90" s="58" t="str">
        <f t="shared" si="4"/>
        <v>MLG</v>
      </c>
      <c r="G90" s="50" t="s">
        <v>38</v>
      </c>
      <c r="H90" s="93">
        <v>65000</v>
      </c>
      <c r="I90" s="59">
        <v>32000</v>
      </c>
      <c r="J90" s="59">
        <v>27900</v>
      </c>
      <c r="K90" s="94">
        <f t="shared" si="5"/>
        <v>0.5707692307692307</v>
      </c>
    </row>
    <row r="91" spans="1:11">
      <c r="A91" s="69">
        <v>38</v>
      </c>
      <c r="B91" s="30">
        <v>25</v>
      </c>
      <c r="C91" s="30">
        <v>3</v>
      </c>
      <c r="D91" s="30" t="s">
        <v>186</v>
      </c>
      <c r="E91" s="30" t="s">
        <v>276</v>
      </c>
      <c r="F91" s="30" t="str">
        <f t="shared" si="4"/>
        <v>DNY</v>
      </c>
      <c r="G91" s="31" t="s">
        <v>493</v>
      </c>
      <c r="H91" s="87">
        <v>62000</v>
      </c>
      <c r="I91" s="32">
        <v>34000</v>
      </c>
      <c r="J91" s="32">
        <v>29760</v>
      </c>
      <c r="K91" s="88">
        <f t="shared" si="5"/>
        <v>0.52</v>
      </c>
    </row>
    <row r="92" spans="1:11">
      <c r="A92" s="71">
        <v>38</v>
      </c>
      <c r="B92" s="52">
        <v>25</v>
      </c>
      <c r="C92" s="52">
        <v>3</v>
      </c>
      <c r="D92" s="52" t="s">
        <v>186</v>
      </c>
      <c r="E92" s="52" t="s">
        <v>277</v>
      </c>
      <c r="F92" s="52" t="str">
        <f t="shared" si="4"/>
        <v>MWH</v>
      </c>
      <c r="G92" s="53" t="s">
        <v>493</v>
      </c>
      <c r="H92" s="89">
        <v>62000</v>
      </c>
      <c r="I92" s="54">
        <v>34000</v>
      </c>
      <c r="J92" s="54">
        <v>29760</v>
      </c>
      <c r="K92" s="90">
        <f t="shared" si="5"/>
        <v>0.52</v>
      </c>
    </row>
    <row r="93" spans="1:11" s="18" customFormat="1">
      <c r="A93" s="69">
        <v>39</v>
      </c>
      <c r="B93" s="30">
        <v>26</v>
      </c>
      <c r="C93" s="30">
        <v>3</v>
      </c>
      <c r="D93" s="30" t="s">
        <v>125</v>
      </c>
      <c r="E93" s="30" t="s">
        <v>378</v>
      </c>
      <c r="F93" s="30" t="str">
        <f t="shared" si="4"/>
        <v>MLG</v>
      </c>
      <c r="G93" s="31" t="s">
        <v>126</v>
      </c>
      <c r="H93" s="87">
        <v>65000</v>
      </c>
      <c r="I93" s="32">
        <v>52000</v>
      </c>
      <c r="J93" s="32">
        <v>46500</v>
      </c>
      <c r="K93" s="88">
        <f t="shared" si="5"/>
        <v>0.2846153846153846</v>
      </c>
    </row>
    <row r="94" spans="1:11" s="18" customFormat="1">
      <c r="A94" s="71">
        <v>39</v>
      </c>
      <c r="B94" s="52">
        <v>26</v>
      </c>
      <c r="C94" s="52">
        <v>3</v>
      </c>
      <c r="D94" s="52" t="s">
        <v>125</v>
      </c>
      <c r="E94" s="52" t="s">
        <v>379</v>
      </c>
      <c r="F94" s="52" t="str">
        <f t="shared" si="4"/>
        <v>OTM</v>
      </c>
      <c r="G94" s="53" t="s">
        <v>126</v>
      </c>
      <c r="H94" s="89">
        <v>65000</v>
      </c>
      <c r="I94" s="54">
        <v>52000</v>
      </c>
      <c r="J94" s="54">
        <v>46500</v>
      </c>
      <c r="K94" s="90">
        <f t="shared" si="5"/>
        <v>0.2846153846153846</v>
      </c>
    </row>
    <row r="95" spans="1:11">
      <c r="A95" s="69">
        <v>40</v>
      </c>
      <c r="B95" s="39">
        <v>24</v>
      </c>
      <c r="C95" s="39">
        <v>3</v>
      </c>
      <c r="D95" s="39" t="s">
        <v>93</v>
      </c>
      <c r="E95" s="39" t="s">
        <v>203</v>
      </c>
      <c r="F95" s="39" t="str">
        <f t="shared" si="4"/>
        <v>KHA</v>
      </c>
      <c r="G95" s="40" t="s">
        <v>94</v>
      </c>
      <c r="H95" s="95">
        <v>65000</v>
      </c>
      <c r="I95" s="41">
        <v>23000</v>
      </c>
      <c r="J95" s="32">
        <v>19530</v>
      </c>
      <c r="K95" s="96">
        <f t="shared" si="5"/>
        <v>0.69953846153846155</v>
      </c>
    </row>
    <row r="96" spans="1:11">
      <c r="A96" s="71">
        <v>40</v>
      </c>
      <c r="B96" s="60">
        <v>24</v>
      </c>
      <c r="C96" s="60">
        <v>3</v>
      </c>
      <c r="D96" s="60" t="s">
        <v>93</v>
      </c>
      <c r="E96" s="60" t="s">
        <v>204</v>
      </c>
      <c r="F96" s="60" t="str">
        <f t="shared" si="4"/>
        <v>NVY</v>
      </c>
      <c r="G96" s="61" t="s">
        <v>94</v>
      </c>
      <c r="H96" s="97">
        <v>65000</v>
      </c>
      <c r="I96" s="62">
        <v>23000</v>
      </c>
      <c r="J96" s="54">
        <v>19530</v>
      </c>
      <c r="K96" s="98">
        <f t="shared" si="5"/>
        <v>0.69953846153846155</v>
      </c>
    </row>
    <row r="97" spans="1:11">
      <c r="A97" s="69">
        <v>41</v>
      </c>
      <c r="B97" s="45">
        <v>25</v>
      </c>
      <c r="C97" s="45">
        <v>3</v>
      </c>
      <c r="D97" s="45" t="s">
        <v>87</v>
      </c>
      <c r="E97" s="45" t="s">
        <v>257</v>
      </c>
      <c r="F97" s="45" t="str">
        <f t="shared" si="4"/>
        <v>DNY</v>
      </c>
      <c r="G97" s="46" t="s">
        <v>88</v>
      </c>
      <c r="H97" s="79">
        <v>65000</v>
      </c>
      <c r="I97" s="47">
        <v>27000</v>
      </c>
      <c r="J97" s="47">
        <v>23250</v>
      </c>
      <c r="K97" s="80">
        <f t="shared" si="5"/>
        <v>0.64230769230769225</v>
      </c>
    </row>
    <row r="98" spans="1:11">
      <c r="A98" s="71">
        <v>41</v>
      </c>
      <c r="B98" s="33">
        <v>25</v>
      </c>
      <c r="C98" s="33">
        <v>3</v>
      </c>
      <c r="D98" s="33" t="s">
        <v>87</v>
      </c>
      <c r="E98" s="33" t="s">
        <v>258</v>
      </c>
      <c r="F98" s="33" t="str">
        <f t="shared" si="4"/>
        <v>MLG</v>
      </c>
      <c r="G98" s="34" t="s">
        <v>88</v>
      </c>
      <c r="H98" s="83">
        <v>65000</v>
      </c>
      <c r="I98" s="35">
        <v>27000</v>
      </c>
      <c r="J98" s="35">
        <v>23250</v>
      </c>
      <c r="K98" s="84">
        <f t="shared" si="5"/>
        <v>0.64230769230769225</v>
      </c>
    </row>
    <row r="99" spans="1:11">
      <c r="A99" s="69">
        <v>42</v>
      </c>
      <c r="B99" s="45">
        <v>26</v>
      </c>
      <c r="C99" s="45">
        <v>3</v>
      </c>
      <c r="D99" s="45" t="s">
        <v>24</v>
      </c>
      <c r="E99" s="45" t="s">
        <v>342</v>
      </c>
      <c r="F99" s="45" t="str">
        <f t="shared" si="4"/>
        <v>KHA</v>
      </c>
      <c r="G99" s="46" t="s">
        <v>25</v>
      </c>
      <c r="H99" s="79">
        <v>49000</v>
      </c>
      <c r="I99" s="47">
        <v>39000</v>
      </c>
      <c r="J99" s="47">
        <v>34410</v>
      </c>
      <c r="K99" s="80">
        <f t="shared" si="5"/>
        <v>0.29775510204081634</v>
      </c>
    </row>
    <row r="100" spans="1:11">
      <c r="A100" s="71">
        <v>42</v>
      </c>
      <c r="B100" s="33">
        <v>26</v>
      </c>
      <c r="C100" s="33">
        <v>3</v>
      </c>
      <c r="D100" s="33" t="s">
        <v>24</v>
      </c>
      <c r="E100" s="33" t="s">
        <v>343</v>
      </c>
      <c r="F100" s="33" t="str">
        <f t="shared" si="4"/>
        <v>MWH</v>
      </c>
      <c r="G100" s="34" t="s">
        <v>25</v>
      </c>
      <c r="H100" s="83">
        <v>49000</v>
      </c>
      <c r="I100" s="35">
        <v>39000</v>
      </c>
      <c r="J100" s="35">
        <v>34410</v>
      </c>
      <c r="K100" s="84">
        <f t="shared" si="5"/>
        <v>0.29775510204081634</v>
      </c>
    </row>
    <row r="101" spans="1:11">
      <c r="A101" s="69">
        <v>43</v>
      </c>
      <c r="B101" s="45">
        <v>26</v>
      </c>
      <c r="C101" s="45">
        <v>3</v>
      </c>
      <c r="D101" s="45" t="s">
        <v>129</v>
      </c>
      <c r="E101" s="45" t="s">
        <v>346</v>
      </c>
      <c r="F101" s="45" t="str">
        <f t="shared" si="4"/>
        <v>MLG</v>
      </c>
      <c r="G101" s="46" t="s">
        <v>130</v>
      </c>
      <c r="H101" s="79">
        <v>62000</v>
      </c>
      <c r="I101" s="47">
        <v>49000</v>
      </c>
      <c r="J101" s="47">
        <v>43710</v>
      </c>
      <c r="K101" s="80">
        <f t="shared" si="5"/>
        <v>0.29500000000000004</v>
      </c>
    </row>
    <row r="102" spans="1:11">
      <c r="A102" s="71">
        <v>43</v>
      </c>
      <c r="B102" s="33">
        <v>26</v>
      </c>
      <c r="C102" s="33">
        <v>3</v>
      </c>
      <c r="D102" s="33" t="s">
        <v>129</v>
      </c>
      <c r="E102" s="33" t="s">
        <v>347</v>
      </c>
      <c r="F102" s="33" t="str">
        <f t="shared" si="4"/>
        <v>OTM</v>
      </c>
      <c r="G102" s="34" t="s">
        <v>130</v>
      </c>
      <c r="H102" s="83">
        <v>62000</v>
      </c>
      <c r="I102" s="35">
        <v>49000</v>
      </c>
      <c r="J102" s="35">
        <v>43710</v>
      </c>
      <c r="K102" s="84">
        <f t="shared" si="5"/>
        <v>0.29500000000000004</v>
      </c>
    </row>
    <row r="103" spans="1:11">
      <c r="A103" s="69">
        <v>44</v>
      </c>
      <c r="B103" s="30">
        <v>26</v>
      </c>
      <c r="C103" s="30">
        <v>3</v>
      </c>
      <c r="D103" s="30" t="s">
        <v>152</v>
      </c>
      <c r="E103" s="30" t="s">
        <v>344</v>
      </c>
      <c r="F103" s="30" t="str">
        <f t="shared" si="4"/>
        <v>BLK</v>
      </c>
      <c r="G103" s="31" t="s">
        <v>153</v>
      </c>
      <c r="H103" s="87">
        <v>65000</v>
      </c>
      <c r="I103" s="32">
        <v>52000</v>
      </c>
      <c r="J103" s="32">
        <v>46500</v>
      </c>
      <c r="K103" s="88">
        <f t="shared" si="5"/>
        <v>0.2846153846153846</v>
      </c>
    </row>
    <row r="104" spans="1:11">
      <c r="A104" s="71">
        <v>44</v>
      </c>
      <c r="B104" s="52">
        <v>26</v>
      </c>
      <c r="C104" s="52">
        <v>3</v>
      </c>
      <c r="D104" s="52" t="s">
        <v>152</v>
      </c>
      <c r="E104" s="52" t="s">
        <v>345</v>
      </c>
      <c r="F104" s="52" t="str">
        <f t="shared" si="4"/>
        <v>MLG</v>
      </c>
      <c r="G104" s="53" t="s">
        <v>153</v>
      </c>
      <c r="H104" s="89">
        <v>65000</v>
      </c>
      <c r="I104" s="54">
        <v>52000</v>
      </c>
      <c r="J104" s="54">
        <v>46500</v>
      </c>
      <c r="K104" s="90">
        <f t="shared" si="5"/>
        <v>0.2846153846153846</v>
      </c>
    </row>
    <row r="105" spans="1:11">
      <c r="A105" s="69">
        <v>45</v>
      </c>
      <c r="B105" s="30">
        <v>25</v>
      </c>
      <c r="C105" s="30">
        <v>3</v>
      </c>
      <c r="D105" s="30" t="s">
        <v>96</v>
      </c>
      <c r="E105" s="30" t="s">
        <v>259</v>
      </c>
      <c r="F105" s="30" t="str">
        <f t="shared" si="4"/>
        <v>DNY</v>
      </c>
      <c r="G105" s="31" t="s">
        <v>95</v>
      </c>
      <c r="H105" s="87">
        <v>89000</v>
      </c>
      <c r="I105" s="32">
        <v>48000</v>
      </c>
      <c r="J105" s="32">
        <v>42780</v>
      </c>
      <c r="K105" s="88">
        <f t="shared" si="5"/>
        <v>0.51932584269662918</v>
      </c>
    </row>
    <row r="106" spans="1:11">
      <c r="A106" s="71">
        <v>45</v>
      </c>
      <c r="B106" s="63">
        <v>25</v>
      </c>
      <c r="C106" s="63">
        <v>3</v>
      </c>
      <c r="D106" s="63" t="s">
        <v>96</v>
      </c>
      <c r="E106" s="63" t="s">
        <v>260</v>
      </c>
      <c r="F106" s="63" t="str">
        <f t="shared" si="4"/>
        <v>MWH</v>
      </c>
      <c r="G106" s="64" t="s">
        <v>95</v>
      </c>
      <c r="H106" s="99">
        <v>89000</v>
      </c>
      <c r="I106" s="65">
        <v>48000</v>
      </c>
      <c r="J106" s="54">
        <v>42780</v>
      </c>
      <c r="K106" s="90">
        <f t="shared" si="5"/>
        <v>0.51932584269662918</v>
      </c>
    </row>
    <row r="107" spans="1:11">
      <c r="A107" s="69">
        <v>46</v>
      </c>
      <c r="B107" s="36">
        <v>25</v>
      </c>
      <c r="C107" s="36">
        <v>1</v>
      </c>
      <c r="D107" s="36" t="s">
        <v>127</v>
      </c>
      <c r="E107" s="36" t="s">
        <v>234</v>
      </c>
      <c r="F107" s="36" t="str">
        <f t="shared" si="4"/>
        <v>DNY</v>
      </c>
      <c r="G107" s="37" t="s">
        <v>128</v>
      </c>
      <c r="H107" s="100">
        <v>55000</v>
      </c>
      <c r="I107" s="38">
        <v>30000</v>
      </c>
      <c r="J107" s="32">
        <v>26040</v>
      </c>
      <c r="K107" s="88">
        <f t="shared" si="5"/>
        <v>0.52654545454545454</v>
      </c>
    </row>
    <row r="108" spans="1:11">
      <c r="A108" s="71">
        <v>46</v>
      </c>
      <c r="B108" s="63">
        <v>25</v>
      </c>
      <c r="C108" s="63">
        <v>1</v>
      </c>
      <c r="D108" s="63" t="s">
        <v>127</v>
      </c>
      <c r="E108" s="63" t="s">
        <v>235</v>
      </c>
      <c r="F108" s="63" t="str">
        <f t="shared" si="4"/>
        <v>IVY</v>
      </c>
      <c r="G108" s="64" t="s">
        <v>128</v>
      </c>
      <c r="H108" s="99">
        <v>55000</v>
      </c>
      <c r="I108" s="65">
        <v>30000</v>
      </c>
      <c r="J108" s="54">
        <v>26040</v>
      </c>
      <c r="K108" s="90">
        <f t="shared" si="5"/>
        <v>0.52654545454545454</v>
      </c>
    </row>
    <row r="109" spans="1:11">
      <c r="A109" s="72">
        <v>47</v>
      </c>
      <c r="B109" s="58">
        <v>26</v>
      </c>
      <c r="C109" s="58">
        <v>1</v>
      </c>
      <c r="D109" s="58" t="s">
        <v>111</v>
      </c>
      <c r="E109" s="58" t="s">
        <v>314</v>
      </c>
      <c r="F109" s="58" t="str">
        <f t="shared" si="4"/>
        <v>DNY</v>
      </c>
      <c r="G109" s="50" t="s">
        <v>112</v>
      </c>
      <c r="H109" s="93">
        <v>65000</v>
      </c>
      <c r="I109" s="59">
        <v>35000</v>
      </c>
      <c r="J109" s="59">
        <v>30690</v>
      </c>
      <c r="K109" s="94">
        <f t="shared" si="5"/>
        <v>0.52784615384615385</v>
      </c>
    </row>
    <row r="110" spans="1:11">
      <c r="A110" s="69">
        <v>48</v>
      </c>
      <c r="B110" s="45">
        <v>26</v>
      </c>
      <c r="C110" s="45">
        <v>1</v>
      </c>
      <c r="D110" s="45" t="s">
        <v>64</v>
      </c>
      <c r="E110" s="45" t="s">
        <v>312</v>
      </c>
      <c r="F110" s="45" t="str">
        <f t="shared" si="4"/>
        <v>BLU</v>
      </c>
      <c r="G110" s="46" t="s">
        <v>65</v>
      </c>
      <c r="H110" s="79">
        <v>69000</v>
      </c>
      <c r="I110" s="47">
        <v>37000</v>
      </c>
      <c r="J110" s="47">
        <v>32550</v>
      </c>
      <c r="K110" s="80">
        <f t="shared" si="5"/>
        <v>0.52826086956521734</v>
      </c>
    </row>
    <row r="111" spans="1:11">
      <c r="A111" s="71">
        <v>48</v>
      </c>
      <c r="B111" s="33">
        <v>26</v>
      </c>
      <c r="C111" s="33">
        <v>1</v>
      </c>
      <c r="D111" s="33" t="s">
        <v>64</v>
      </c>
      <c r="E111" s="33" t="s">
        <v>313</v>
      </c>
      <c r="F111" s="33" t="str">
        <f t="shared" si="4"/>
        <v>YEL</v>
      </c>
      <c r="G111" s="34" t="s">
        <v>65</v>
      </c>
      <c r="H111" s="83">
        <v>69000</v>
      </c>
      <c r="I111" s="35">
        <v>37000</v>
      </c>
      <c r="J111" s="35">
        <v>32550</v>
      </c>
      <c r="K111" s="84">
        <f t="shared" si="5"/>
        <v>0.52826086956521734</v>
      </c>
    </row>
    <row r="112" spans="1:11" s="18" customFormat="1">
      <c r="A112" s="69">
        <v>49</v>
      </c>
      <c r="B112" s="45">
        <v>26</v>
      </c>
      <c r="C112" s="45">
        <v>3</v>
      </c>
      <c r="D112" s="45" t="s">
        <v>28</v>
      </c>
      <c r="E112" s="45" t="s">
        <v>348</v>
      </c>
      <c r="F112" s="45" t="str">
        <f t="shared" si="4"/>
        <v>BLU</v>
      </c>
      <c r="G112" s="46" t="s">
        <v>29</v>
      </c>
      <c r="H112" s="79">
        <v>69000</v>
      </c>
      <c r="I112" s="47">
        <v>55000</v>
      </c>
      <c r="J112" s="47">
        <v>49290</v>
      </c>
      <c r="K112" s="80">
        <f t="shared" si="5"/>
        <v>0.28565217391304343</v>
      </c>
    </row>
    <row r="113" spans="1:12" s="18" customFormat="1">
      <c r="A113" s="71">
        <v>49</v>
      </c>
      <c r="B113" s="33">
        <v>26</v>
      </c>
      <c r="C113" s="33">
        <v>3</v>
      </c>
      <c r="D113" s="33" t="s">
        <v>28</v>
      </c>
      <c r="E113" s="33" t="s">
        <v>349</v>
      </c>
      <c r="F113" s="33" t="str">
        <f t="shared" si="4"/>
        <v>BRN</v>
      </c>
      <c r="G113" s="34" t="s">
        <v>29</v>
      </c>
      <c r="H113" s="83">
        <v>69000</v>
      </c>
      <c r="I113" s="35">
        <v>55000</v>
      </c>
      <c r="J113" s="35">
        <v>49290</v>
      </c>
      <c r="K113" s="84">
        <f t="shared" si="5"/>
        <v>0.28565217391304343</v>
      </c>
    </row>
    <row r="114" spans="1:12" s="108" customFormat="1">
      <c r="A114" s="110">
        <v>50</v>
      </c>
      <c r="B114" s="111">
        <v>26</v>
      </c>
      <c r="C114" s="111">
        <v>2</v>
      </c>
      <c r="D114" s="111" t="s">
        <v>484</v>
      </c>
      <c r="E114" s="111" t="s">
        <v>467</v>
      </c>
      <c r="F114" s="111" t="str">
        <f t="shared" si="4"/>
        <v>MLG</v>
      </c>
      <c r="G114" s="112" t="s">
        <v>85</v>
      </c>
      <c r="H114" s="113">
        <v>32000</v>
      </c>
      <c r="I114" s="114">
        <v>15000</v>
      </c>
      <c r="J114" s="114">
        <v>15000</v>
      </c>
      <c r="K114" s="115">
        <f t="shared" si="5"/>
        <v>0.53125</v>
      </c>
      <c r="L114" s="109" t="s">
        <v>436</v>
      </c>
    </row>
    <row r="115" spans="1:12" s="108" customFormat="1">
      <c r="A115" s="147">
        <v>50</v>
      </c>
      <c r="B115" s="116">
        <v>26</v>
      </c>
      <c r="C115" s="116">
        <v>2</v>
      </c>
      <c r="D115" s="116" t="s">
        <v>484</v>
      </c>
      <c r="E115" s="116" t="s">
        <v>468</v>
      </c>
      <c r="F115" s="116" t="str">
        <f t="shared" si="4"/>
        <v>NVY</v>
      </c>
      <c r="G115" s="117" t="s">
        <v>85</v>
      </c>
      <c r="H115" s="118">
        <v>32000</v>
      </c>
      <c r="I115" s="119">
        <v>15000</v>
      </c>
      <c r="J115" s="119">
        <v>15000</v>
      </c>
      <c r="K115" s="120">
        <f t="shared" si="5"/>
        <v>0.53125</v>
      </c>
      <c r="L115" s="109" t="s">
        <v>437</v>
      </c>
    </row>
    <row r="116" spans="1:12" s="108" customFormat="1">
      <c r="A116" s="148">
        <v>50</v>
      </c>
      <c r="B116" s="121">
        <v>26</v>
      </c>
      <c r="C116" s="121">
        <v>2</v>
      </c>
      <c r="D116" s="121" t="s">
        <v>484</v>
      </c>
      <c r="E116" s="121" t="s">
        <v>469</v>
      </c>
      <c r="F116" s="121" t="str">
        <f t="shared" si="4"/>
        <v>OWH</v>
      </c>
      <c r="G116" s="122" t="s">
        <v>85</v>
      </c>
      <c r="H116" s="123">
        <v>32000</v>
      </c>
      <c r="I116" s="124">
        <v>15000</v>
      </c>
      <c r="J116" s="124">
        <v>15000</v>
      </c>
      <c r="K116" s="125">
        <f t="shared" si="5"/>
        <v>0.53125</v>
      </c>
      <c r="L116" s="109" t="s">
        <v>438</v>
      </c>
    </row>
    <row r="117" spans="1:12" s="108" customFormat="1">
      <c r="A117" s="110">
        <v>51</v>
      </c>
      <c r="B117" s="111">
        <v>26</v>
      </c>
      <c r="C117" s="111">
        <v>2</v>
      </c>
      <c r="D117" s="111" t="s">
        <v>485</v>
      </c>
      <c r="E117" s="111" t="s">
        <v>470</v>
      </c>
      <c r="F117" s="111" t="str">
        <f t="shared" si="4"/>
        <v>BLK</v>
      </c>
      <c r="G117" s="112" t="s">
        <v>91</v>
      </c>
      <c r="H117" s="113">
        <v>35000</v>
      </c>
      <c r="I117" s="114">
        <v>15000</v>
      </c>
      <c r="J117" s="114">
        <v>15000</v>
      </c>
      <c r="K117" s="115">
        <f t="shared" si="5"/>
        <v>0.5714285714285714</v>
      </c>
      <c r="L117" s="109" t="s">
        <v>439</v>
      </c>
    </row>
    <row r="118" spans="1:12" s="108" customFormat="1">
      <c r="A118" s="147">
        <v>51</v>
      </c>
      <c r="B118" s="116">
        <v>26</v>
      </c>
      <c r="C118" s="116">
        <v>2</v>
      </c>
      <c r="D118" s="116" t="s">
        <v>485</v>
      </c>
      <c r="E118" s="116" t="s">
        <v>471</v>
      </c>
      <c r="F118" s="116" t="str">
        <f t="shared" si="4"/>
        <v>BLU</v>
      </c>
      <c r="G118" s="117" t="s">
        <v>91</v>
      </c>
      <c r="H118" s="118">
        <v>35000</v>
      </c>
      <c r="I118" s="119">
        <v>15000</v>
      </c>
      <c r="J118" s="119">
        <v>15000</v>
      </c>
      <c r="K118" s="120">
        <f t="shared" si="5"/>
        <v>0.5714285714285714</v>
      </c>
      <c r="L118" s="109" t="s">
        <v>440</v>
      </c>
    </row>
    <row r="119" spans="1:12" s="108" customFormat="1">
      <c r="A119" s="147">
        <v>51</v>
      </c>
      <c r="B119" s="116">
        <v>26</v>
      </c>
      <c r="C119" s="116">
        <v>2</v>
      </c>
      <c r="D119" s="116" t="s">
        <v>485</v>
      </c>
      <c r="E119" s="116" t="s">
        <v>472</v>
      </c>
      <c r="F119" s="116" t="str">
        <f t="shared" si="4"/>
        <v>IVY</v>
      </c>
      <c r="G119" s="117" t="s">
        <v>91</v>
      </c>
      <c r="H119" s="118">
        <v>35000</v>
      </c>
      <c r="I119" s="119">
        <v>15000</v>
      </c>
      <c r="J119" s="119">
        <v>15000</v>
      </c>
      <c r="K119" s="120">
        <f t="shared" si="5"/>
        <v>0.5714285714285714</v>
      </c>
      <c r="L119" s="109" t="s">
        <v>441</v>
      </c>
    </row>
    <row r="120" spans="1:12" s="108" customFormat="1">
      <c r="A120" s="147">
        <v>51</v>
      </c>
      <c r="B120" s="116">
        <v>26</v>
      </c>
      <c r="C120" s="116">
        <v>2</v>
      </c>
      <c r="D120" s="116" t="s">
        <v>485</v>
      </c>
      <c r="E120" s="116" t="s">
        <v>473</v>
      </c>
      <c r="F120" s="116" t="str">
        <f t="shared" si="4"/>
        <v>MWH</v>
      </c>
      <c r="G120" s="117" t="s">
        <v>91</v>
      </c>
      <c r="H120" s="118">
        <v>35000</v>
      </c>
      <c r="I120" s="119">
        <v>15000</v>
      </c>
      <c r="J120" s="119">
        <v>15000</v>
      </c>
      <c r="K120" s="120">
        <f t="shared" si="5"/>
        <v>0.5714285714285714</v>
      </c>
      <c r="L120" s="109" t="s">
        <v>442</v>
      </c>
    </row>
    <row r="121" spans="1:12" s="108" customFormat="1">
      <c r="A121" s="148">
        <v>51</v>
      </c>
      <c r="B121" s="121">
        <v>26</v>
      </c>
      <c r="C121" s="121">
        <v>2</v>
      </c>
      <c r="D121" s="121" t="s">
        <v>485</v>
      </c>
      <c r="E121" s="121" t="s">
        <v>474</v>
      </c>
      <c r="F121" s="121" t="str">
        <f t="shared" si="4"/>
        <v>YEL</v>
      </c>
      <c r="G121" s="122" t="s">
        <v>91</v>
      </c>
      <c r="H121" s="123">
        <v>35000</v>
      </c>
      <c r="I121" s="124">
        <v>15000</v>
      </c>
      <c r="J121" s="124">
        <v>15000</v>
      </c>
      <c r="K121" s="125">
        <f t="shared" si="5"/>
        <v>0.5714285714285714</v>
      </c>
      <c r="L121" s="109" t="s">
        <v>443</v>
      </c>
    </row>
    <row r="122" spans="1:12" s="108" customFormat="1">
      <c r="A122" s="110">
        <v>52</v>
      </c>
      <c r="B122" s="126">
        <v>26</v>
      </c>
      <c r="C122" s="126">
        <v>2</v>
      </c>
      <c r="D122" s="126" t="s">
        <v>90</v>
      </c>
      <c r="E122" s="126" t="s">
        <v>427</v>
      </c>
      <c r="F122" s="126" t="str">
        <f t="shared" si="4"/>
        <v>BLK</v>
      </c>
      <c r="G122" s="127" t="s">
        <v>89</v>
      </c>
      <c r="H122" s="128">
        <v>35000</v>
      </c>
      <c r="I122" s="129">
        <v>15000</v>
      </c>
      <c r="J122" s="129">
        <v>15000</v>
      </c>
      <c r="K122" s="130">
        <f t="shared" si="5"/>
        <v>0.5714285714285714</v>
      </c>
      <c r="L122" s="109" t="s">
        <v>427</v>
      </c>
    </row>
    <row r="123" spans="1:12" s="108" customFormat="1">
      <c r="A123" s="147">
        <v>52</v>
      </c>
      <c r="B123" s="131">
        <v>26</v>
      </c>
      <c r="C123" s="131">
        <v>2</v>
      </c>
      <c r="D123" s="131" t="s">
        <v>90</v>
      </c>
      <c r="E123" s="131" t="s">
        <v>428</v>
      </c>
      <c r="F123" s="131" t="str">
        <f t="shared" si="4"/>
        <v>MLG</v>
      </c>
      <c r="G123" s="132" t="s">
        <v>89</v>
      </c>
      <c r="H123" s="133">
        <v>35000</v>
      </c>
      <c r="I123" s="134">
        <v>15000</v>
      </c>
      <c r="J123" s="134">
        <v>15000</v>
      </c>
      <c r="K123" s="135">
        <f t="shared" si="5"/>
        <v>0.5714285714285714</v>
      </c>
      <c r="L123" s="109" t="s">
        <v>428</v>
      </c>
    </row>
    <row r="124" spans="1:12" s="108" customFormat="1">
      <c r="A124" s="147">
        <v>52</v>
      </c>
      <c r="B124" s="116">
        <v>26</v>
      </c>
      <c r="C124" s="116">
        <v>2</v>
      </c>
      <c r="D124" s="116" t="s">
        <v>90</v>
      </c>
      <c r="E124" s="116" t="s">
        <v>429</v>
      </c>
      <c r="F124" s="116" t="str">
        <f t="shared" si="4"/>
        <v>ORG</v>
      </c>
      <c r="G124" s="117" t="s">
        <v>89</v>
      </c>
      <c r="H124" s="118">
        <v>35000</v>
      </c>
      <c r="I124" s="119">
        <v>15000</v>
      </c>
      <c r="J124" s="119">
        <v>15000</v>
      </c>
      <c r="K124" s="120">
        <f t="shared" si="5"/>
        <v>0.5714285714285714</v>
      </c>
      <c r="L124" s="109" t="s">
        <v>429</v>
      </c>
    </row>
    <row r="125" spans="1:12" s="108" customFormat="1">
      <c r="A125" s="148">
        <v>52</v>
      </c>
      <c r="B125" s="121">
        <v>26</v>
      </c>
      <c r="C125" s="121">
        <v>2</v>
      </c>
      <c r="D125" s="121" t="s">
        <v>90</v>
      </c>
      <c r="E125" s="121" t="s">
        <v>430</v>
      </c>
      <c r="F125" s="121" t="str">
        <f t="shared" si="4"/>
        <v>OWH</v>
      </c>
      <c r="G125" s="122" t="s">
        <v>89</v>
      </c>
      <c r="H125" s="123">
        <v>35000</v>
      </c>
      <c r="I125" s="124">
        <v>15000</v>
      </c>
      <c r="J125" s="124">
        <v>15000</v>
      </c>
      <c r="K125" s="125">
        <f t="shared" si="5"/>
        <v>0.5714285714285714</v>
      </c>
      <c r="L125" s="109" t="s">
        <v>430</v>
      </c>
    </row>
    <row r="126" spans="1:12" s="108" customFormat="1">
      <c r="A126" s="110">
        <v>53</v>
      </c>
      <c r="B126" s="126">
        <v>26</v>
      </c>
      <c r="C126" s="126">
        <v>2</v>
      </c>
      <c r="D126" s="126" t="s">
        <v>79</v>
      </c>
      <c r="E126" s="126" t="s">
        <v>431</v>
      </c>
      <c r="F126" s="126" t="str">
        <f t="shared" si="4"/>
        <v>IVY</v>
      </c>
      <c r="G126" s="127" t="s">
        <v>80</v>
      </c>
      <c r="H126" s="128">
        <v>35000</v>
      </c>
      <c r="I126" s="129">
        <v>15000</v>
      </c>
      <c r="J126" s="129">
        <v>15000</v>
      </c>
      <c r="K126" s="130">
        <f t="shared" si="5"/>
        <v>0.5714285714285714</v>
      </c>
      <c r="L126" s="109" t="s">
        <v>431</v>
      </c>
    </row>
    <row r="127" spans="1:12" s="108" customFormat="1">
      <c r="A127" s="147">
        <v>53</v>
      </c>
      <c r="B127" s="131">
        <v>26</v>
      </c>
      <c r="C127" s="131">
        <v>2</v>
      </c>
      <c r="D127" s="131" t="s">
        <v>79</v>
      </c>
      <c r="E127" s="131" t="s">
        <v>432</v>
      </c>
      <c r="F127" s="131" t="str">
        <f t="shared" si="4"/>
        <v>MWH</v>
      </c>
      <c r="G127" s="132" t="s">
        <v>80</v>
      </c>
      <c r="H127" s="133">
        <v>35000</v>
      </c>
      <c r="I127" s="134">
        <v>15000</v>
      </c>
      <c r="J127" s="134">
        <v>15000</v>
      </c>
      <c r="K127" s="135">
        <f t="shared" si="5"/>
        <v>0.5714285714285714</v>
      </c>
      <c r="L127" s="109" t="s">
        <v>432</v>
      </c>
    </row>
    <row r="128" spans="1:12" s="108" customFormat="1">
      <c r="A128" s="148">
        <v>53</v>
      </c>
      <c r="B128" s="121">
        <v>26</v>
      </c>
      <c r="C128" s="121">
        <v>2</v>
      </c>
      <c r="D128" s="121" t="s">
        <v>79</v>
      </c>
      <c r="E128" s="121" t="s">
        <v>433</v>
      </c>
      <c r="F128" s="121" t="str">
        <f t="shared" si="4"/>
        <v>RBL</v>
      </c>
      <c r="G128" s="122" t="s">
        <v>80</v>
      </c>
      <c r="H128" s="123">
        <v>35000</v>
      </c>
      <c r="I128" s="124">
        <v>15000</v>
      </c>
      <c r="J128" s="124">
        <v>15000</v>
      </c>
      <c r="K128" s="125">
        <f t="shared" si="5"/>
        <v>0.5714285714285714</v>
      </c>
      <c r="L128" s="109" t="s">
        <v>433</v>
      </c>
    </row>
    <row r="129" spans="1:12" s="108" customFormat="1">
      <c r="A129" s="110">
        <v>54</v>
      </c>
      <c r="B129" s="126">
        <v>26</v>
      </c>
      <c r="C129" s="126">
        <v>2</v>
      </c>
      <c r="D129" s="126" t="s">
        <v>63</v>
      </c>
      <c r="E129" s="126" t="s">
        <v>434</v>
      </c>
      <c r="F129" s="126" t="str">
        <f t="shared" si="4"/>
        <v>LGN</v>
      </c>
      <c r="G129" s="127" t="s">
        <v>62</v>
      </c>
      <c r="H129" s="128">
        <v>35000</v>
      </c>
      <c r="I129" s="129">
        <v>15000</v>
      </c>
      <c r="J129" s="129">
        <v>15000</v>
      </c>
      <c r="K129" s="130">
        <f t="shared" si="5"/>
        <v>0.5714285714285714</v>
      </c>
      <c r="L129" s="109" t="s">
        <v>434</v>
      </c>
    </row>
    <row r="130" spans="1:12" s="108" customFormat="1">
      <c r="A130" s="148">
        <v>54</v>
      </c>
      <c r="B130" s="136">
        <v>26</v>
      </c>
      <c r="C130" s="136">
        <v>2</v>
      </c>
      <c r="D130" s="136" t="s">
        <v>63</v>
      </c>
      <c r="E130" s="136" t="s">
        <v>435</v>
      </c>
      <c r="F130" s="136" t="str">
        <f t="shared" si="4"/>
        <v>OWH</v>
      </c>
      <c r="G130" s="137" t="s">
        <v>62</v>
      </c>
      <c r="H130" s="138">
        <v>35000</v>
      </c>
      <c r="I130" s="139">
        <v>15000</v>
      </c>
      <c r="J130" s="139">
        <v>15000</v>
      </c>
      <c r="K130" s="140">
        <f t="shared" si="5"/>
        <v>0.5714285714285714</v>
      </c>
      <c r="L130" s="109" t="s">
        <v>435</v>
      </c>
    </row>
    <row r="131" spans="1:12" s="108" customFormat="1">
      <c r="A131" s="110">
        <v>55</v>
      </c>
      <c r="B131" s="111">
        <v>26</v>
      </c>
      <c r="C131" s="111">
        <v>2</v>
      </c>
      <c r="D131" s="111" t="s">
        <v>486</v>
      </c>
      <c r="E131" s="111" t="s">
        <v>475</v>
      </c>
      <c r="F131" s="111" t="str">
        <f t="shared" si="4"/>
        <v>DNY</v>
      </c>
      <c r="G131" s="112" t="s">
        <v>36</v>
      </c>
      <c r="H131" s="113">
        <v>39000</v>
      </c>
      <c r="I131" s="114">
        <v>15000</v>
      </c>
      <c r="J131" s="114">
        <v>15000</v>
      </c>
      <c r="K131" s="115">
        <f t="shared" si="5"/>
        <v>0.61538461538461542</v>
      </c>
      <c r="L131" s="109" t="s">
        <v>444</v>
      </c>
    </row>
    <row r="132" spans="1:12" s="108" customFormat="1">
      <c r="A132" s="147">
        <v>55</v>
      </c>
      <c r="B132" s="116">
        <v>26</v>
      </c>
      <c r="C132" s="116">
        <v>2</v>
      </c>
      <c r="D132" s="116" t="s">
        <v>486</v>
      </c>
      <c r="E132" s="116" t="s">
        <v>476</v>
      </c>
      <c r="F132" s="116" t="str">
        <f t="shared" si="4"/>
        <v>MWH</v>
      </c>
      <c r="G132" s="117" t="s">
        <v>36</v>
      </c>
      <c r="H132" s="118">
        <v>39000</v>
      </c>
      <c r="I132" s="119">
        <v>15000</v>
      </c>
      <c r="J132" s="119">
        <v>15000</v>
      </c>
      <c r="K132" s="120">
        <f t="shared" si="5"/>
        <v>0.61538461538461542</v>
      </c>
      <c r="L132" s="109" t="s">
        <v>445</v>
      </c>
    </row>
    <row r="133" spans="1:12" s="108" customFormat="1">
      <c r="A133" s="148">
        <v>55</v>
      </c>
      <c r="B133" s="121">
        <v>26</v>
      </c>
      <c r="C133" s="121">
        <v>2</v>
      </c>
      <c r="D133" s="121" t="s">
        <v>486</v>
      </c>
      <c r="E133" s="121" t="s">
        <v>477</v>
      </c>
      <c r="F133" s="121" t="str">
        <f t="shared" si="4"/>
        <v>OWH</v>
      </c>
      <c r="G133" s="122" t="s">
        <v>36</v>
      </c>
      <c r="H133" s="123">
        <v>39000</v>
      </c>
      <c r="I133" s="124">
        <v>15000</v>
      </c>
      <c r="J133" s="124">
        <v>15000</v>
      </c>
      <c r="K133" s="125">
        <f t="shared" si="5"/>
        <v>0.61538461538461542</v>
      </c>
      <c r="L133" s="109" t="s">
        <v>446</v>
      </c>
    </row>
    <row r="134" spans="1:12" s="108" customFormat="1">
      <c r="A134" s="110">
        <v>56</v>
      </c>
      <c r="B134" s="126">
        <v>26</v>
      </c>
      <c r="C134" s="126">
        <v>2</v>
      </c>
      <c r="D134" s="126" t="s">
        <v>487</v>
      </c>
      <c r="E134" s="126" t="s">
        <v>478</v>
      </c>
      <c r="F134" s="126" t="str">
        <f t="shared" ref="F134:F194" si="6">RIGHT(E134,3)</f>
        <v>CHC</v>
      </c>
      <c r="G134" s="127" t="s">
        <v>46</v>
      </c>
      <c r="H134" s="128">
        <v>39000</v>
      </c>
      <c r="I134" s="129">
        <v>15000</v>
      </c>
      <c r="J134" s="129">
        <v>15000</v>
      </c>
      <c r="K134" s="130">
        <f t="shared" si="5"/>
        <v>0.61538461538461542</v>
      </c>
      <c r="L134" s="109" t="s">
        <v>447</v>
      </c>
    </row>
    <row r="135" spans="1:12" s="108" customFormat="1">
      <c r="A135" s="147">
        <v>56</v>
      </c>
      <c r="B135" s="131">
        <v>26</v>
      </c>
      <c r="C135" s="131">
        <v>2</v>
      </c>
      <c r="D135" s="131" t="s">
        <v>487</v>
      </c>
      <c r="E135" s="131" t="s">
        <v>479</v>
      </c>
      <c r="F135" s="131" t="str">
        <f t="shared" si="6"/>
        <v>LGN</v>
      </c>
      <c r="G135" s="132" t="s">
        <v>46</v>
      </c>
      <c r="H135" s="133">
        <v>39000</v>
      </c>
      <c r="I135" s="134">
        <v>15000</v>
      </c>
      <c r="J135" s="134">
        <v>15000</v>
      </c>
      <c r="K135" s="135">
        <f t="shared" si="5"/>
        <v>0.61538461538461542</v>
      </c>
      <c r="L135" s="109" t="s">
        <v>448</v>
      </c>
    </row>
    <row r="136" spans="1:12" s="108" customFormat="1">
      <c r="A136" s="148">
        <v>56</v>
      </c>
      <c r="B136" s="121">
        <v>26</v>
      </c>
      <c r="C136" s="121">
        <v>2</v>
      </c>
      <c r="D136" s="121" t="s">
        <v>487</v>
      </c>
      <c r="E136" s="121" t="s">
        <v>480</v>
      </c>
      <c r="F136" s="121" t="str">
        <f t="shared" si="6"/>
        <v>ORG</v>
      </c>
      <c r="G136" s="122" t="s">
        <v>46</v>
      </c>
      <c r="H136" s="123">
        <v>39000</v>
      </c>
      <c r="I136" s="124">
        <v>15000</v>
      </c>
      <c r="J136" s="124">
        <v>15000</v>
      </c>
      <c r="K136" s="125">
        <f t="shared" si="5"/>
        <v>0.61538461538461542</v>
      </c>
      <c r="L136" s="109" t="s">
        <v>449</v>
      </c>
    </row>
    <row r="137" spans="1:12" s="108" customFormat="1">
      <c r="A137" s="110">
        <v>57</v>
      </c>
      <c r="B137" s="111">
        <v>26</v>
      </c>
      <c r="C137" s="111">
        <v>2</v>
      </c>
      <c r="D137" s="111" t="s">
        <v>488</v>
      </c>
      <c r="E137" s="111" t="s">
        <v>481</v>
      </c>
      <c r="F137" s="111" t="str">
        <f t="shared" si="6"/>
        <v>BLK</v>
      </c>
      <c r="G137" s="112" t="s">
        <v>176</v>
      </c>
      <c r="H137" s="113">
        <v>39000</v>
      </c>
      <c r="I137" s="114">
        <v>15000</v>
      </c>
      <c r="J137" s="114">
        <v>15000</v>
      </c>
      <c r="K137" s="115">
        <f t="shared" si="5"/>
        <v>0.61538461538461542</v>
      </c>
      <c r="L137" s="109" t="s">
        <v>450</v>
      </c>
    </row>
    <row r="138" spans="1:12" s="108" customFormat="1">
      <c r="A138" s="147">
        <v>57</v>
      </c>
      <c r="B138" s="116">
        <v>26</v>
      </c>
      <c r="C138" s="116">
        <v>2</v>
      </c>
      <c r="D138" s="116" t="s">
        <v>488</v>
      </c>
      <c r="E138" s="116" t="s">
        <v>482</v>
      </c>
      <c r="F138" s="116" t="str">
        <f t="shared" si="6"/>
        <v>MLG</v>
      </c>
      <c r="G138" s="117" t="s">
        <v>176</v>
      </c>
      <c r="H138" s="118">
        <v>39000</v>
      </c>
      <c r="I138" s="119">
        <v>15000</v>
      </c>
      <c r="J138" s="119">
        <v>15000</v>
      </c>
      <c r="K138" s="120">
        <f t="shared" si="5"/>
        <v>0.61538461538461542</v>
      </c>
      <c r="L138" s="109" t="s">
        <v>451</v>
      </c>
    </row>
    <row r="139" spans="1:12" s="108" customFormat="1">
      <c r="A139" s="148">
        <v>57</v>
      </c>
      <c r="B139" s="121">
        <v>26</v>
      </c>
      <c r="C139" s="121">
        <v>2</v>
      </c>
      <c r="D139" s="121" t="s">
        <v>488</v>
      </c>
      <c r="E139" s="121" t="s">
        <v>483</v>
      </c>
      <c r="F139" s="121" t="str">
        <f t="shared" si="6"/>
        <v>OWH</v>
      </c>
      <c r="G139" s="122" t="s">
        <v>176</v>
      </c>
      <c r="H139" s="123">
        <v>39000</v>
      </c>
      <c r="I139" s="124">
        <v>15000</v>
      </c>
      <c r="J139" s="124">
        <v>15000</v>
      </c>
      <c r="K139" s="125">
        <f t="shared" si="5"/>
        <v>0.61538461538461542</v>
      </c>
      <c r="L139" s="109" t="s">
        <v>452</v>
      </c>
    </row>
    <row r="140" spans="1:12" s="18" customFormat="1">
      <c r="A140" s="141">
        <v>58</v>
      </c>
      <c r="B140" s="142">
        <v>24</v>
      </c>
      <c r="C140" s="142">
        <v>3</v>
      </c>
      <c r="D140" s="142" t="s">
        <v>4</v>
      </c>
      <c r="E140" s="142" t="s">
        <v>213</v>
      </c>
      <c r="F140" s="142" t="str">
        <f t="shared" si="6"/>
        <v>LPU</v>
      </c>
      <c r="G140" s="143" t="s">
        <v>5</v>
      </c>
      <c r="H140" s="144">
        <v>119000</v>
      </c>
      <c r="I140" s="145">
        <v>39000</v>
      </c>
      <c r="J140" s="145">
        <v>34410</v>
      </c>
      <c r="K140" s="146">
        <f t="shared" si="5"/>
        <v>0.71084033613445374</v>
      </c>
    </row>
    <row r="141" spans="1:12" s="18" customFormat="1">
      <c r="A141" s="110">
        <v>59</v>
      </c>
      <c r="B141" s="111">
        <v>24</v>
      </c>
      <c r="C141" s="111">
        <v>3</v>
      </c>
      <c r="D141" s="111" t="s">
        <v>6</v>
      </c>
      <c r="E141" s="111" t="s">
        <v>214</v>
      </c>
      <c r="F141" s="111" t="str">
        <f t="shared" si="6"/>
        <v>BLK</v>
      </c>
      <c r="G141" s="112" t="s">
        <v>7</v>
      </c>
      <c r="H141" s="113">
        <v>109000</v>
      </c>
      <c r="I141" s="114">
        <v>39000</v>
      </c>
      <c r="J141" s="114">
        <v>34410</v>
      </c>
      <c r="K141" s="115">
        <f t="shared" si="5"/>
        <v>0.68431192660550466</v>
      </c>
    </row>
    <row r="142" spans="1:12" s="18" customFormat="1">
      <c r="A142" s="148">
        <v>59</v>
      </c>
      <c r="B142" s="121">
        <v>24</v>
      </c>
      <c r="C142" s="121">
        <v>3</v>
      </c>
      <c r="D142" s="121" t="s">
        <v>6</v>
      </c>
      <c r="E142" s="121" t="s">
        <v>215</v>
      </c>
      <c r="F142" s="121" t="str">
        <f t="shared" si="6"/>
        <v>PNK</v>
      </c>
      <c r="G142" s="122" t="s">
        <v>7</v>
      </c>
      <c r="H142" s="123">
        <v>109000</v>
      </c>
      <c r="I142" s="124">
        <v>39000</v>
      </c>
      <c r="J142" s="124">
        <v>34410</v>
      </c>
      <c r="K142" s="125">
        <f t="shared" ref="K142:K202" si="7">1-J142/H142</f>
        <v>0.68431192660550466</v>
      </c>
    </row>
    <row r="143" spans="1:12" s="18" customFormat="1">
      <c r="A143" s="72">
        <v>60</v>
      </c>
      <c r="B143" s="48">
        <v>23</v>
      </c>
      <c r="C143" s="48">
        <v>3</v>
      </c>
      <c r="D143" s="48" t="s">
        <v>133</v>
      </c>
      <c r="E143" s="48" t="s">
        <v>195</v>
      </c>
      <c r="F143" s="48" t="str">
        <f t="shared" si="6"/>
        <v>PUR</v>
      </c>
      <c r="G143" s="49" t="s">
        <v>134</v>
      </c>
      <c r="H143" s="85">
        <v>79000</v>
      </c>
      <c r="I143" s="51">
        <v>27000</v>
      </c>
      <c r="J143" s="59">
        <v>23250</v>
      </c>
      <c r="K143" s="86">
        <f t="shared" si="7"/>
        <v>0.70569620253164556</v>
      </c>
    </row>
    <row r="144" spans="1:12">
      <c r="A144" s="72">
        <v>61</v>
      </c>
      <c r="B144" s="48">
        <v>23</v>
      </c>
      <c r="C144" s="48">
        <v>3</v>
      </c>
      <c r="D144" s="48" t="s">
        <v>56</v>
      </c>
      <c r="E144" s="48" t="s">
        <v>196</v>
      </c>
      <c r="F144" s="48" t="str">
        <f t="shared" si="6"/>
        <v>NVY</v>
      </c>
      <c r="G144" s="49" t="s">
        <v>57</v>
      </c>
      <c r="H144" s="85">
        <v>89000</v>
      </c>
      <c r="I144" s="51">
        <v>42000</v>
      </c>
      <c r="J144" s="59">
        <v>37200</v>
      </c>
      <c r="K144" s="86">
        <f t="shared" si="7"/>
        <v>0.58202247191011236</v>
      </c>
    </row>
    <row r="145" spans="1:11">
      <c r="A145" s="69">
        <v>62</v>
      </c>
      <c r="B145" s="39">
        <v>24</v>
      </c>
      <c r="C145" s="39">
        <v>1</v>
      </c>
      <c r="D145" s="39" t="s">
        <v>77</v>
      </c>
      <c r="E145" s="39" t="s">
        <v>197</v>
      </c>
      <c r="F145" s="39" t="str">
        <f t="shared" si="6"/>
        <v>BEI</v>
      </c>
      <c r="G145" s="40" t="s">
        <v>78</v>
      </c>
      <c r="H145" s="95">
        <v>119000</v>
      </c>
      <c r="I145" s="41">
        <v>42000</v>
      </c>
      <c r="J145" s="32">
        <v>37200</v>
      </c>
      <c r="K145" s="96">
        <f t="shared" si="7"/>
        <v>0.68739495798319328</v>
      </c>
    </row>
    <row r="146" spans="1:11" s="18" customFormat="1">
      <c r="A146" s="71">
        <v>62</v>
      </c>
      <c r="B146" s="60">
        <v>24</v>
      </c>
      <c r="C146" s="60">
        <v>1</v>
      </c>
      <c r="D146" s="60" t="s">
        <v>77</v>
      </c>
      <c r="E146" s="60" t="s">
        <v>198</v>
      </c>
      <c r="F146" s="60" t="str">
        <f t="shared" si="6"/>
        <v>DNY</v>
      </c>
      <c r="G146" s="61" t="s">
        <v>78</v>
      </c>
      <c r="H146" s="97">
        <v>119000</v>
      </c>
      <c r="I146" s="62">
        <v>42000</v>
      </c>
      <c r="J146" s="54">
        <v>37200</v>
      </c>
      <c r="K146" s="98">
        <f t="shared" si="7"/>
        <v>0.68739495798319328</v>
      </c>
    </row>
    <row r="147" spans="1:11" s="18" customFormat="1">
      <c r="A147" s="72">
        <v>63</v>
      </c>
      <c r="B147" s="48">
        <v>24</v>
      </c>
      <c r="C147" s="48">
        <v>3</v>
      </c>
      <c r="D147" s="48" t="s">
        <v>19</v>
      </c>
      <c r="E147" s="48" t="s">
        <v>212</v>
      </c>
      <c r="F147" s="48" t="str">
        <f t="shared" si="6"/>
        <v>BLK</v>
      </c>
      <c r="G147" s="49" t="s">
        <v>20</v>
      </c>
      <c r="H147" s="85">
        <v>119000</v>
      </c>
      <c r="I147" s="51">
        <v>42000</v>
      </c>
      <c r="J147" s="59">
        <v>37200</v>
      </c>
      <c r="K147" s="86">
        <f t="shared" si="7"/>
        <v>0.68739495798319328</v>
      </c>
    </row>
    <row r="148" spans="1:11">
      <c r="A148" s="69">
        <v>64</v>
      </c>
      <c r="B148" s="45">
        <v>26</v>
      </c>
      <c r="C148" s="45">
        <v>1</v>
      </c>
      <c r="D148" s="45" t="s">
        <v>174</v>
      </c>
      <c r="E148" s="45" t="s">
        <v>332</v>
      </c>
      <c r="F148" s="45" t="str">
        <f t="shared" si="6"/>
        <v>GRY</v>
      </c>
      <c r="G148" s="46" t="s">
        <v>175</v>
      </c>
      <c r="H148" s="79">
        <v>109000</v>
      </c>
      <c r="I148" s="47">
        <v>59000</v>
      </c>
      <c r="J148" s="47">
        <v>53010</v>
      </c>
      <c r="K148" s="80">
        <f t="shared" si="7"/>
        <v>0.51366972477064221</v>
      </c>
    </row>
    <row r="149" spans="1:11">
      <c r="A149" s="71">
        <v>64</v>
      </c>
      <c r="B149" s="33">
        <v>26</v>
      </c>
      <c r="C149" s="33">
        <v>1</v>
      </c>
      <c r="D149" s="33" t="s">
        <v>174</v>
      </c>
      <c r="E149" s="33" t="s">
        <v>333</v>
      </c>
      <c r="F149" s="33" t="str">
        <f t="shared" si="6"/>
        <v>SBL</v>
      </c>
      <c r="G149" s="34" t="s">
        <v>175</v>
      </c>
      <c r="H149" s="83">
        <v>109000</v>
      </c>
      <c r="I149" s="35">
        <v>59000</v>
      </c>
      <c r="J149" s="35">
        <v>53010</v>
      </c>
      <c r="K149" s="84">
        <f t="shared" si="7"/>
        <v>0.51366972477064221</v>
      </c>
    </row>
    <row r="150" spans="1:11">
      <c r="A150" s="69">
        <v>65</v>
      </c>
      <c r="B150" s="39">
        <v>24</v>
      </c>
      <c r="C150" s="39">
        <v>3</v>
      </c>
      <c r="D150" s="39" t="s">
        <v>105</v>
      </c>
      <c r="E150" s="39" t="s">
        <v>200</v>
      </c>
      <c r="F150" s="39" t="str">
        <f t="shared" si="6"/>
        <v>CRE</v>
      </c>
      <c r="G150" s="40" t="s">
        <v>106</v>
      </c>
      <c r="H150" s="95">
        <v>59000</v>
      </c>
      <c r="I150" s="41">
        <v>20000</v>
      </c>
      <c r="J150" s="41">
        <v>18000</v>
      </c>
      <c r="K150" s="96">
        <f t="shared" si="7"/>
        <v>0.69491525423728806</v>
      </c>
    </row>
    <row r="151" spans="1:11">
      <c r="A151" s="70">
        <v>65</v>
      </c>
      <c r="B151" s="66">
        <v>24</v>
      </c>
      <c r="C151" s="66">
        <v>3</v>
      </c>
      <c r="D151" s="66" t="s">
        <v>105</v>
      </c>
      <c r="E151" s="66" t="s">
        <v>201</v>
      </c>
      <c r="F151" s="66" t="str">
        <f t="shared" si="6"/>
        <v>NVY</v>
      </c>
      <c r="G151" s="67" t="s">
        <v>106</v>
      </c>
      <c r="H151" s="103">
        <v>59000</v>
      </c>
      <c r="I151" s="68">
        <v>20000</v>
      </c>
      <c r="J151" s="68">
        <v>18000</v>
      </c>
      <c r="K151" s="104">
        <f t="shared" si="7"/>
        <v>0.69491525423728806</v>
      </c>
    </row>
    <row r="152" spans="1:11">
      <c r="A152" s="71">
        <v>65</v>
      </c>
      <c r="B152" s="42">
        <v>24</v>
      </c>
      <c r="C152" s="42">
        <v>3</v>
      </c>
      <c r="D152" s="42" t="s">
        <v>105</v>
      </c>
      <c r="E152" s="42" t="s">
        <v>202</v>
      </c>
      <c r="F152" s="42" t="str">
        <f t="shared" si="6"/>
        <v>PNK</v>
      </c>
      <c r="G152" s="43" t="s">
        <v>106</v>
      </c>
      <c r="H152" s="101">
        <v>59000</v>
      </c>
      <c r="I152" s="44">
        <v>20000</v>
      </c>
      <c r="J152" s="44">
        <v>18000</v>
      </c>
      <c r="K152" s="102">
        <f t="shared" si="7"/>
        <v>0.69491525423728806</v>
      </c>
    </row>
    <row r="153" spans="1:11">
      <c r="A153" s="72">
        <v>66</v>
      </c>
      <c r="B153" s="48">
        <v>23</v>
      </c>
      <c r="C153" s="48">
        <v>1</v>
      </c>
      <c r="D153" s="48" t="s">
        <v>2</v>
      </c>
      <c r="E153" s="48" t="s">
        <v>192</v>
      </c>
      <c r="F153" s="48" t="str">
        <f t="shared" si="6"/>
        <v>LPU</v>
      </c>
      <c r="G153" s="49" t="s">
        <v>3</v>
      </c>
      <c r="H153" s="85">
        <v>69000</v>
      </c>
      <c r="I153" s="51">
        <v>25000</v>
      </c>
      <c r="J153" s="59">
        <v>23250</v>
      </c>
      <c r="K153" s="86">
        <f t="shared" si="7"/>
        <v>0.66304347826086962</v>
      </c>
    </row>
    <row r="154" spans="1:11">
      <c r="A154" s="72">
        <v>67</v>
      </c>
      <c r="B154" s="48">
        <v>24</v>
      </c>
      <c r="C154" s="48">
        <v>3</v>
      </c>
      <c r="D154" s="48" t="s">
        <v>170</v>
      </c>
      <c r="E154" s="48" t="s">
        <v>199</v>
      </c>
      <c r="F154" s="48" t="str">
        <f t="shared" si="6"/>
        <v>NVY</v>
      </c>
      <c r="G154" s="49" t="s">
        <v>171</v>
      </c>
      <c r="H154" s="85">
        <v>79000</v>
      </c>
      <c r="I154" s="51">
        <v>25000</v>
      </c>
      <c r="J154" s="59">
        <v>21390</v>
      </c>
      <c r="K154" s="86">
        <f t="shared" si="7"/>
        <v>0.72924050632911386</v>
      </c>
    </row>
    <row r="155" spans="1:11" s="149" customFormat="1">
      <c r="A155" s="150">
        <v>68</v>
      </c>
      <c r="B155" s="163">
        <v>26</v>
      </c>
      <c r="C155" s="163">
        <v>2</v>
      </c>
      <c r="D155" s="163" t="str">
        <f>LEFT(E155,10)</f>
        <v>OD262BHP01</v>
      </c>
      <c r="E155" s="163" t="s">
        <v>424</v>
      </c>
      <c r="F155" s="163" t="str">
        <f>RIGHT(E155,3)</f>
        <v>BEI</v>
      </c>
      <c r="G155" s="164" t="s">
        <v>9</v>
      </c>
      <c r="H155" s="165">
        <v>59000</v>
      </c>
      <c r="I155" s="164">
        <v>27000</v>
      </c>
      <c r="J155" s="164">
        <v>23250</v>
      </c>
      <c r="K155" s="166">
        <f>1-J155/H155</f>
        <v>0.60593220338983045</v>
      </c>
    </row>
    <row r="156" spans="1:11" s="149" customFormat="1">
      <c r="A156" s="70">
        <v>68</v>
      </c>
      <c r="B156" s="155">
        <v>26</v>
      </c>
      <c r="C156" s="155">
        <v>2</v>
      </c>
      <c r="D156" s="155" t="str">
        <f>LEFT(E156,10)</f>
        <v>OD262BHP01</v>
      </c>
      <c r="E156" s="155" t="s">
        <v>425</v>
      </c>
      <c r="F156" s="155" t="str">
        <f>RIGHT(E156,3)</f>
        <v>BLK</v>
      </c>
      <c r="G156" s="156" t="s">
        <v>9</v>
      </c>
      <c r="H156" s="157">
        <v>59000</v>
      </c>
      <c r="I156" s="156">
        <v>27000</v>
      </c>
      <c r="J156" s="156">
        <v>23250</v>
      </c>
      <c r="K156" s="158">
        <f>1-J156/H156</f>
        <v>0.60593220338983045</v>
      </c>
    </row>
    <row r="157" spans="1:11" s="149" customFormat="1">
      <c r="A157" s="71">
        <v>68</v>
      </c>
      <c r="B157" s="167">
        <v>26</v>
      </c>
      <c r="C157" s="167">
        <v>2</v>
      </c>
      <c r="D157" s="167" t="str">
        <f>LEFT(E157,10)</f>
        <v>OD262BHP01</v>
      </c>
      <c r="E157" s="167" t="s">
        <v>426</v>
      </c>
      <c r="F157" s="167" t="str">
        <f>RIGHT(E157,3)</f>
        <v>DGY</v>
      </c>
      <c r="G157" s="168" t="s">
        <v>9</v>
      </c>
      <c r="H157" s="169">
        <v>59000</v>
      </c>
      <c r="I157" s="168">
        <v>27000</v>
      </c>
      <c r="J157" s="168">
        <v>23250</v>
      </c>
      <c r="K157" s="170">
        <f>1-J157/H157</f>
        <v>0.60593220338983045</v>
      </c>
    </row>
    <row r="158" spans="1:11">
      <c r="A158" s="72">
        <v>69</v>
      </c>
      <c r="B158" s="58">
        <v>25</v>
      </c>
      <c r="C158" s="58">
        <v>1</v>
      </c>
      <c r="D158" s="58" t="s">
        <v>75</v>
      </c>
      <c r="E158" s="58" t="s">
        <v>229</v>
      </c>
      <c r="F158" s="58" t="str">
        <f t="shared" si="6"/>
        <v>LPU</v>
      </c>
      <c r="G158" s="50" t="s">
        <v>76</v>
      </c>
      <c r="H158" s="93">
        <v>55000</v>
      </c>
      <c r="I158" s="59">
        <v>30000</v>
      </c>
      <c r="J158" s="59">
        <v>27900</v>
      </c>
      <c r="K158" s="94">
        <f t="shared" si="7"/>
        <v>0.49272727272727268</v>
      </c>
    </row>
    <row r="159" spans="1:11">
      <c r="A159" s="69">
        <v>70</v>
      </c>
      <c r="B159" s="45">
        <v>25</v>
      </c>
      <c r="C159" s="45">
        <v>1</v>
      </c>
      <c r="D159" s="45" t="s">
        <v>107</v>
      </c>
      <c r="E159" s="45" t="s">
        <v>230</v>
      </c>
      <c r="F159" s="45" t="str">
        <f t="shared" si="6"/>
        <v>NVY</v>
      </c>
      <c r="G159" s="46" t="s">
        <v>106</v>
      </c>
      <c r="H159" s="79">
        <v>55000</v>
      </c>
      <c r="I159" s="47">
        <v>30000</v>
      </c>
      <c r="J159" s="47">
        <v>27900</v>
      </c>
      <c r="K159" s="80">
        <f t="shared" si="7"/>
        <v>0.49272727272727268</v>
      </c>
    </row>
    <row r="160" spans="1:11">
      <c r="A160" s="71">
        <v>70</v>
      </c>
      <c r="B160" s="33">
        <v>25</v>
      </c>
      <c r="C160" s="33">
        <v>1</v>
      </c>
      <c r="D160" s="33" t="s">
        <v>107</v>
      </c>
      <c r="E160" s="33" t="s">
        <v>231</v>
      </c>
      <c r="F160" s="33" t="str">
        <f t="shared" si="6"/>
        <v>OTM</v>
      </c>
      <c r="G160" s="34" t="s">
        <v>106</v>
      </c>
      <c r="H160" s="83">
        <v>55000</v>
      </c>
      <c r="I160" s="35">
        <v>30000</v>
      </c>
      <c r="J160" s="35">
        <v>27900</v>
      </c>
      <c r="K160" s="84">
        <f t="shared" si="7"/>
        <v>0.49272727272727268</v>
      </c>
    </row>
    <row r="161" spans="1:11">
      <c r="A161" s="69">
        <v>71</v>
      </c>
      <c r="B161" s="45">
        <v>25</v>
      </c>
      <c r="C161" s="45">
        <v>3</v>
      </c>
      <c r="D161" s="45" t="s">
        <v>184</v>
      </c>
      <c r="E161" s="45" t="s">
        <v>246</v>
      </c>
      <c r="F161" s="45" t="str">
        <f t="shared" si="6"/>
        <v>DNY</v>
      </c>
      <c r="G161" s="46" t="s">
        <v>185</v>
      </c>
      <c r="H161" s="79">
        <v>59000</v>
      </c>
      <c r="I161" s="47">
        <v>30000</v>
      </c>
      <c r="J161" s="47">
        <v>26040</v>
      </c>
      <c r="K161" s="80">
        <f t="shared" si="7"/>
        <v>0.55864406779661024</v>
      </c>
    </row>
    <row r="162" spans="1:11">
      <c r="A162" s="71">
        <v>71</v>
      </c>
      <c r="B162" s="33">
        <v>25</v>
      </c>
      <c r="C162" s="33">
        <v>3</v>
      </c>
      <c r="D162" s="33" t="s">
        <v>184</v>
      </c>
      <c r="E162" s="33" t="s">
        <v>247</v>
      </c>
      <c r="F162" s="33" t="str">
        <f t="shared" si="6"/>
        <v>MWH</v>
      </c>
      <c r="G162" s="34" t="s">
        <v>185</v>
      </c>
      <c r="H162" s="83">
        <v>59000</v>
      </c>
      <c r="I162" s="35">
        <v>30000</v>
      </c>
      <c r="J162" s="35">
        <v>26040</v>
      </c>
      <c r="K162" s="84">
        <f t="shared" si="7"/>
        <v>0.55864406779661024</v>
      </c>
    </row>
    <row r="163" spans="1:11">
      <c r="A163" s="69">
        <v>72</v>
      </c>
      <c r="B163" s="45">
        <v>25</v>
      </c>
      <c r="C163" s="45">
        <v>3</v>
      </c>
      <c r="D163" s="45" t="s">
        <v>180</v>
      </c>
      <c r="E163" s="45" t="s">
        <v>250</v>
      </c>
      <c r="F163" s="45" t="str">
        <f t="shared" si="6"/>
        <v>KHA</v>
      </c>
      <c r="G163" s="46" t="s">
        <v>181</v>
      </c>
      <c r="H163" s="79">
        <v>59000</v>
      </c>
      <c r="I163" s="47">
        <v>30000</v>
      </c>
      <c r="J163" s="47">
        <v>26040</v>
      </c>
      <c r="K163" s="80">
        <f t="shared" si="7"/>
        <v>0.55864406779661024</v>
      </c>
    </row>
    <row r="164" spans="1:11">
      <c r="A164" s="69">
        <v>73</v>
      </c>
      <c r="B164" s="45">
        <v>25</v>
      </c>
      <c r="C164" s="45">
        <v>3</v>
      </c>
      <c r="D164" s="45" t="s">
        <v>179</v>
      </c>
      <c r="E164" s="45" t="s">
        <v>252</v>
      </c>
      <c r="F164" s="45" t="str">
        <f t="shared" si="6"/>
        <v>DGY</v>
      </c>
      <c r="G164" s="46" t="s">
        <v>178</v>
      </c>
      <c r="H164" s="79">
        <v>59000</v>
      </c>
      <c r="I164" s="47">
        <v>30000</v>
      </c>
      <c r="J164" s="47">
        <v>26040</v>
      </c>
      <c r="K164" s="80">
        <f t="shared" si="7"/>
        <v>0.55864406779661024</v>
      </c>
    </row>
    <row r="165" spans="1:11">
      <c r="A165" s="70">
        <v>73</v>
      </c>
      <c r="B165" s="27">
        <v>25</v>
      </c>
      <c r="C165" s="27">
        <v>3</v>
      </c>
      <c r="D165" s="27" t="s">
        <v>179</v>
      </c>
      <c r="E165" s="27" t="s">
        <v>253</v>
      </c>
      <c r="F165" s="27" t="str">
        <f t="shared" si="6"/>
        <v>MWH</v>
      </c>
      <c r="G165" s="28" t="s">
        <v>178</v>
      </c>
      <c r="H165" s="81">
        <v>59000</v>
      </c>
      <c r="I165" s="29">
        <v>30000</v>
      </c>
      <c r="J165" s="29">
        <v>26040</v>
      </c>
      <c r="K165" s="82">
        <f t="shared" si="7"/>
        <v>0.55864406779661024</v>
      </c>
    </row>
    <row r="166" spans="1:11">
      <c r="A166" s="71">
        <v>73</v>
      </c>
      <c r="B166" s="33">
        <v>25</v>
      </c>
      <c r="C166" s="33">
        <v>3</v>
      </c>
      <c r="D166" s="33" t="s">
        <v>179</v>
      </c>
      <c r="E166" s="33" t="s">
        <v>254</v>
      </c>
      <c r="F166" s="33" t="str">
        <f t="shared" si="6"/>
        <v>NVY</v>
      </c>
      <c r="G166" s="34" t="s">
        <v>178</v>
      </c>
      <c r="H166" s="83">
        <v>59000</v>
      </c>
      <c r="I166" s="35">
        <v>30000</v>
      </c>
      <c r="J166" s="35">
        <v>26040</v>
      </c>
      <c r="K166" s="84">
        <f t="shared" si="7"/>
        <v>0.55864406779661024</v>
      </c>
    </row>
    <row r="167" spans="1:11">
      <c r="A167" s="69">
        <v>74</v>
      </c>
      <c r="B167" s="30">
        <v>25</v>
      </c>
      <c r="C167" s="30">
        <v>3</v>
      </c>
      <c r="D167" s="30" t="s">
        <v>108</v>
      </c>
      <c r="E167" s="30" t="s">
        <v>255</v>
      </c>
      <c r="F167" s="30" t="str">
        <f t="shared" si="6"/>
        <v>BUG</v>
      </c>
      <c r="G167" s="31" t="s">
        <v>106</v>
      </c>
      <c r="H167" s="87">
        <v>59000</v>
      </c>
      <c r="I167" s="32">
        <v>30000</v>
      </c>
      <c r="J167" s="32">
        <v>26040</v>
      </c>
      <c r="K167" s="88">
        <f t="shared" si="7"/>
        <v>0.55864406779661024</v>
      </c>
    </row>
    <row r="168" spans="1:11">
      <c r="A168" s="71">
        <v>74</v>
      </c>
      <c r="B168" s="52">
        <v>25</v>
      </c>
      <c r="C168" s="52">
        <v>3</v>
      </c>
      <c r="D168" s="52" t="s">
        <v>108</v>
      </c>
      <c r="E168" s="52" t="s">
        <v>256</v>
      </c>
      <c r="F168" s="52" t="str">
        <f t="shared" si="6"/>
        <v>OTM</v>
      </c>
      <c r="G168" s="53" t="s">
        <v>106</v>
      </c>
      <c r="H168" s="89">
        <v>59000</v>
      </c>
      <c r="I168" s="54">
        <v>30000</v>
      </c>
      <c r="J168" s="54">
        <v>26040</v>
      </c>
      <c r="K168" s="90">
        <f t="shared" si="7"/>
        <v>0.55864406779661024</v>
      </c>
    </row>
    <row r="169" spans="1:11">
      <c r="A169" s="69">
        <v>75</v>
      </c>
      <c r="B169" s="30">
        <v>26</v>
      </c>
      <c r="C169" s="30">
        <v>1</v>
      </c>
      <c r="D169" s="30" t="s">
        <v>156</v>
      </c>
      <c r="E169" s="30" t="s">
        <v>304</v>
      </c>
      <c r="F169" s="30" t="str">
        <f t="shared" si="6"/>
        <v>BLK</v>
      </c>
      <c r="G169" s="31" t="s">
        <v>157</v>
      </c>
      <c r="H169" s="87">
        <v>59000</v>
      </c>
      <c r="I169" s="32">
        <v>31000</v>
      </c>
      <c r="J169" s="32">
        <v>28830</v>
      </c>
      <c r="K169" s="88">
        <f t="shared" si="7"/>
        <v>0.51135593220338982</v>
      </c>
    </row>
    <row r="170" spans="1:11">
      <c r="A170" s="70">
        <v>75</v>
      </c>
      <c r="B170" s="27">
        <v>26</v>
      </c>
      <c r="C170" s="27">
        <v>1</v>
      </c>
      <c r="D170" s="27" t="s">
        <v>156</v>
      </c>
      <c r="E170" s="27" t="s">
        <v>305</v>
      </c>
      <c r="F170" s="27" t="str">
        <f t="shared" si="6"/>
        <v>DNY</v>
      </c>
      <c r="G170" s="28" t="s">
        <v>157</v>
      </c>
      <c r="H170" s="81">
        <v>59000</v>
      </c>
      <c r="I170" s="29">
        <v>31000</v>
      </c>
      <c r="J170" s="29">
        <v>28830</v>
      </c>
      <c r="K170" s="82">
        <f t="shared" si="7"/>
        <v>0.51135593220338982</v>
      </c>
    </row>
    <row r="171" spans="1:11">
      <c r="A171" s="71">
        <v>75</v>
      </c>
      <c r="B171" s="52">
        <v>26</v>
      </c>
      <c r="C171" s="52">
        <v>1</v>
      </c>
      <c r="D171" s="52" t="s">
        <v>156</v>
      </c>
      <c r="E171" s="52" t="s">
        <v>306</v>
      </c>
      <c r="F171" s="52" t="str">
        <f t="shared" si="6"/>
        <v>MWH</v>
      </c>
      <c r="G171" s="53" t="s">
        <v>157</v>
      </c>
      <c r="H171" s="89">
        <v>59000</v>
      </c>
      <c r="I171" s="54">
        <v>31000</v>
      </c>
      <c r="J171" s="54">
        <v>28830</v>
      </c>
      <c r="K171" s="90">
        <f t="shared" si="7"/>
        <v>0.51135593220338982</v>
      </c>
    </row>
    <row r="172" spans="1:11">
      <c r="A172" s="69">
        <v>76</v>
      </c>
      <c r="B172" s="30">
        <v>26</v>
      </c>
      <c r="C172" s="30">
        <v>1</v>
      </c>
      <c r="D172" s="30" t="s">
        <v>154</v>
      </c>
      <c r="E172" s="30" t="s">
        <v>307</v>
      </c>
      <c r="F172" s="30" t="str">
        <f t="shared" si="6"/>
        <v>BLK</v>
      </c>
      <c r="G172" s="31" t="s">
        <v>155</v>
      </c>
      <c r="H172" s="87">
        <v>59000</v>
      </c>
      <c r="I172" s="32">
        <v>32000</v>
      </c>
      <c r="J172" s="32">
        <v>29760</v>
      </c>
      <c r="K172" s="88">
        <f t="shared" si="7"/>
        <v>0.49559322033898301</v>
      </c>
    </row>
    <row r="173" spans="1:11" s="18" customFormat="1">
      <c r="A173" s="71">
        <v>76</v>
      </c>
      <c r="B173" s="52">
        <v>26</v>
      </c>
      <c r="C173" s="52">
        <v>1</v>
      </c>
      <c r="D173" s="52" t="s">
        <v>154</v>
      </c>
      <c r="E173" s="52" t="s">
        <v>308</v>
      </c>
      <c r="F173" s="52" t="str">
        <f t="shared" si="6"/>
        <v>MLG</v>
      </c>
      <c r="G173" s="53" t="s">
        <v>155</v>
      </c>
      <c r="H173" s="89">
        <v>59000</v>
      </c>
      <c r="I173" s="54">
        <v>32000</v>
      </c>
      <c r="J173" s="54">
        <v>29760</v>
      </c>
      <c r="K173" s="90">
        <f t="shared" si="7"/>
        <v>0.49559322033898301</v>
      </c>
    </row>
    <row r="174" spans="1:11" s="18" customFormat="1">
      <c r="A174" s="69">
        <v>77</v>
      </c>
      <c r="B174" s="30">
        <v>26</v>
      </c>
      <c r="C174" s="30">
        <v>1</v>
      </c>
      <c r="D174" s="30" t="s">
        <v>123</v>
      </c>
      <c r="E174" s="30" t="s">
        <v>309</v>
      </c>
      <c r="F174" s="30" t="str">
        <f t="shared" si="6"/>
        <v>DNY</v>
      </c>
      <c r="G174" s="31" t="s">
        <v>124</v>
      </c>
      <c r="H174" s="87">
        <v>59000</v>
      </c>
      <c r="I174" s="32">
        <v>32000</v>
      </c>
      <c r="J174" s="32">
        <v>29760</v>
      </c>
      <c r="K174" s="88">
        <f t="shared" si="7"/>
        <v>0.49559322033898301</v>
      </c>
    </row>
    <row r="175" spans="1:11" s="18" customFormat="1">
      <c r="A175" s="71">
        <v>77</v>
      </c>
      <c r="B175" s="52">
        <v>26</v>
      </c>
      <c r="C175" s="52">
        <v>1</v>
      </c>
      <c r="D175" s="52" t="s">
        <v>123</v>
      </c>
      <c r="E175" s="52" t="s">
        <v>310</v>
      </c>
      <c r="F175" s="52" t="str">
        <f t="shared" si="6"/>
        <v>MLG</v>
      </c>
      <c r="G175" s="53" t="s">
        <v>124</v>
      </c>
      <c r="H175" s="89">
        <v>59000</v>
      </c>
      <c r="I175" s="54">
        <v>32000</v>
      </c>
      <c r="J175" s="54">
        <v>29760</v>
      </c>
      <c r="K175" s="90">
        <f t="shared" si="7"/>
        <v>0.49559322033898301</v>
      </c>
    </row>
    <row r="176" spans="1:11" s="18" customFormat="1">
      <c r="A176" s="69">
        <v>78</v>
      </c>
      <c r="B176" s="30">
        <v>26</v>
      </c>
      <c r="C176" s="30">
        <v>1</v>
      </c>
      <c r="D176" s="30" t="s">
        <v>139</v>
      </c>
      <c r="E176" s="30" t="s">
        <v>298</v>
      </c>
      <c r="F176" s="30" t="str">
        <f t="shared" si="6"/>
        <v>BEI</v>
      </c>
      <c r="G176" s="31" t="s">
        <v>140</v>
      </c>
      <c r="H176" s="87">
        <v>79000</v>
      </c>
      <c r="I176" s="32">
        <v>40000</v>
      </c>
      <c r="J176" s="32">
        <v>37200</v>
      </c>
      <c r="K176" s="88">
        <f t="shared" si="7"/>
        <v>0.52911392405063284</v>
      </c>
    </row>
    <row r="177" spans="1:14" s="18" customFormat="1">
      <c r="A177" s="71">
        <v>78</v>
      </c>
      <c r="B177" s="52">
        <v>26</v>
      </c>
      <c r="C177" s="52">
        <v>1</v>
      </c>
      <c r="D177" s="52" t="s">
        <v>139</v>
      </c>
      <c r="E177" s="52" t="s">
        <v>299</v>
      </c>
      <c r="F177" s="52" t="str">
        <f t="shared" si="6"/>
        <v>DGY</v>
      </c>
      <c r="G177" s="53" t="s">
        <v>140</v>
      </c>
      <c r="H177" s="89">
        <v>79000</v>
      </c>
      <c r="I177" s="54">
        <v>40000</v>
      </c>
      <c r="J177" s="54">
        <v>37200</v>
      </c>
      <c r="K177" s="90">
        <f t="shared" si="7"/>
        <v>0.52911392405063284</v>
      </c>
    </row>
    <row r="178" spans="1:14" s="18" customFormat="1">
      <c r="A178" s="69">
        <v>79</v>
      </c>
      <c r="B178" s="45">
        <v>25</v>
      </c>
      <c r="C178" s="45">
        <v>1</v>
      </c>
      <c r="D178" s="45" t="s">
        <v>141</v>
      </c>
      <c r="E178" s="45" t="s">
        <v>225</v>
      </c>
      <c r="F178" s="45" t="str">
        <f t="shared" si="6"/>
        <v>BLK</v>
      </c>
      <c r="G178" s="46" t="s">
        <v>142</v>
      </c>
      <c r="H178" s="79">
        <v>79000</v>
      </c>
      <c r="I178" s="47">
        <v>42000</v>
      </c>
      <c r="J178" s="47">
        <v>39060</v>
      </c>
      <c r="K178" s="80">
        <f t="shared" si="7"/>
        <v>0.50556962025316454</v>
      </c>
    </row>
    <row r="179" spans="1:14">
      <c r="A179" s="71">
        <v>79</v>
      </c>
      <c r="B179" s="33">
        <v>25</v>
      </c>
      <c r="C179" s="33">
        <v>1</v>
      </c>
      <c r="D179" s="33" t="s">
        <v>141</v>
      </c>
      <c r="E179" s="33" t="s">
        <v>226</v>
      </c>
      <c r="F179" s="33" t="str">
        <f t="shared" si="6"/>
        <v>LGY</v>
      </c>
      <c r="G179" s="34" t="s">
        <v>142</v>
      </c>
      <c r="H179" s="83">
        <v>79000</v>
      </c>
      <c r="I179" s="35">
        <v>42000</v>
      </c>
      <c r="J179" s="35">
        <v>39060</v>
      </c>
      <c r="K179" s="84">
        <f t="shared" si="7"/>
        <v>0.50556962025316454</v>
      </c>
    </row>
    <row r="180" spans="1:14">
      <c r="A180" s="69">
        <v>80</v>
      </c>
      <c r="B180" s="45">
        <v>25</v>
      </c>
      <c r="C180" s="45">
        <v>1</v>
      </c>
      <c r="D180" s="45" t="s">
        <v>158</v>
      </c>
      <c r="E180" s="45" t="s">
        <v>227</v>
      </c>
      <c r="F180" s="45" t="str">
        <f t="shared" si="6"/>
        <v>DBE</v>
      </c>
      <c r="G180" s="46" t="s">
        <v>159</v>
      </c>
      <c r="H180" s="79">
        <v>89000</v>
      </c>
      <c r="I180" s="47">
        <v>42000</v>
      </c>
      <c r="J180" s="47">
        <v>39060</v>
      </c>
      <c r="K180" s="80">
        <f t="shared" si="7"/>
        <v>0.56112359550561797</v>
      </c>
    </row>
    <row r="181" spans="1:14">
      <c r="A181" s="71">
        <v>80</v>
      </c>
      <c r="B181" s="33">
        <v>25</v>
      </c>
      <c r="C181" s="33">
        <v>1</v>
      </c>
      <c r="D181" s="33" t="s">
        <v>158</v>
      </c>
      <c r="E181" s="33" t="s">
        <v>228</v>
      </c>
      <c r="F181" s="33" t="str">
        <f t="shared" si="6"/>
        <v>IVY</v>
      </c>
      <c r="G181" s="34" t="s">
        <v>159</v>
      </c>
      <c r="H181" s="83">
        <v>89000</v>
      </c>
      <c r="I181" s="35">
        <v>42000</v>
      </c>
      <c r="J181" s="35">
        <v>39060</v>
      </c>
      <c r="K181" s="84">
        <f t="shared" si="7"/>
        <v>0.56112359550561797</v>
      </c>
    </row>
    <row r="182" spans="1:14">
      <c r="A182" s="69">
        <v>81</v>
      </c>
      <c r="B182" s="30">
        <v>25</v>
      </c>
      <c r="C182" s="30">
        <v>1</v>
      </c>
      <c r="D182" s="30" t="s">
        <v>143</v>
      </c>
      <c r="E182" s="30" t="s">
        <v>223</v>
      </c>
      <c r="F182" s="30" t="str">
        <f t="shared" si="6"/>
        <v>BEI</v>
      </c>
      <c r="G182" s="31" t="s">
        <v>144</v>
      </c>
      <c r="H182" s="87">
        <v>79000</v>
      </c>
      <c r="I182" s="32">
        <v>43000</v>
      </c>
      <c r="J182" s="32">
        <v>39990</v>
      </c>
      <c r="K182" s="88">
        <f t="shared" si="7"/>
        <v>0.49379746835443039</v>
      </c>
    </row>
    <row r="183" spans="1:14">
      <c r="A183" s="71">
        <v>81</v>
      </c>
      <c r="B183" s="52">
        <v>25</v>
      </c>
      <c r="C183" s="52">
        <v>1</v>
      </c>
      <c r="D183" s="52" t="s">
        <v>143</v>
      </c>
      <c r="E183" s="52" t="s">
        <v>224</v>
      </c>
      <c r="F183" s="52" t="str">
        <f t="shared" si="6"/>
        <v>LKH</v>
      </c>
      <c r="G183" s="53" t="s">
        <v>144</v>
      </c>
      <c r="H183" s="89">
        <v>79000</v>
      </c>
      <c r="I183" s="54">
        <v>43000</v>
      </c>
      <c r="J183" s="54">
        <v>39990</v>
      </c>
      <c r="K183" s="90">
        <f t="shared" si="7"/>
        <v>0.49379746835443039</v>
      </c>
    </row>
    <row r="184" spans="1:14">
      <c r="A184" s="69">
        <v>82</v>
      </c>
      <c r="B184" s="45">
        <v>25</v>
      </c>
      <c r="C184" s="45">
        <v>3</v>
      </c>
      <c r="D184" s="45" t="s">
        <v>137</v>
      </c>
      <c r="E184" s="45" t="s">
        <v>248</v>
      </c>
      <c r="F184" s="45" t="str">
        <f t="shared" si="6"/>
        <v>BEI</v>
      </c>
      <c r="G184" s="46" t="s">
        <v>138</v>
      </c>
      <c r="H184" s="79">
        <v>79000</v>
      </c>
      <c r="I184" s="47">
        <v>43000</v>
      </c>
      <c r="J184" s="47">
        <v>38130</v>
      </c>
      <c r="K184" s="80">
        <f t="shared" si="7"/>
        <v>0.51734177215189869</v>
      </c>
    </row>
    <row r="185" spans="1:14" s="2" customFormat="1">
      <c r="A185" s="71">
        <v>82</v>
      </c>
      <c r="B185" s="33">
        <v>25</v>
      </c>
      <c r="C185" s="33">
        <v>3</v>
      </c>
      <c r="D185" s="33" t="s">
        <v>137</v>
      </c>
      <c r="E185" s="33" t="s">
        <v>249</v>
      </c>
      <c r="F185" s="33" t="str">
        <f t="shared" si="6"/>
        <v>DNY</v>
      </c>
      <c r="G185" s="34" t="s">
        <v>138</v>
      </c>
      <c r="H185" s="83">
        <v>79000</v>
      </c>
      <c r="I185" s="35">
        <v>43000</v>
      </c>
      <c r="J185" s="35">
        <v>38130</v>
      </c>
      <c r="K185" s="84">
        <f t="shared" si="7"/>
        <v>0.51734177215189869</v>
      </c>
      <c r="L185"/>
      <c r="M185"/>
      <c r="N185"/>
    </row>
    <row r="186" spans="1:14" s="2" customFormat="1">
      <c r="A186" s="69">
        <v>83</v>
      </c>
      <c r="B186" s="30">
        <v>26</v>
      </c>
      <c r="C186" s="30">
        <v>1</v>
      </c>
      <c r="D186" s="30" t="s">
        <v>182</v>
      </c>
      <c r="E186" s="30" t="s">
        <v>300</v>
      </c>
      <c r="F186" s="30" t="str">
        <f t="shared" si="6"/>
        <v>DGY</v>
      </c>
      <c r="G186" s="31" t="s">
        <v>183</v>
      </c>
      <c r="H186" s="87">
        <v>79000</v>
      </c>
      <c r="I186" s="32">
        <v>43000</v>
      </c>
      <c r="J186" s="32">
        <v>39990</v>
      </c>
      <c r="K186" s="88">
        <f t="shared" si="7"/>
        <v>0.49379746835443039</v>
      </c>
      <c r="L186"/>
      <c r="M186"/>
      <c r="N186"/>
    </row>
    <row r="187" spans="1:14" s="2" customFormat="1">
      <c r="A187" s="71">
        <v>83</v>
      </c>
      <c r="B187" s="52">
        <v>26</v>
      </c>
      <c r="C187" s="52">
        <v>1</v>
      </c>
      <c r="D187" s="52" t="s">
        <v>182</v>
      </c>
      <c r="E187" s="52" t="s">
        <v>301</v>
      </c>
      <c r="F187" s="52" t="str">
        <f t="shared" si="6"/>
        <v>LKH</v>
      </c>
      <c r="G187" s="53" t="s">
        <v>183</v>
      </c>
      <c r="H187" s="89">
        <v>79000</v>
      </c>
      <c r="I187" s="54">
        <v>43000</v>
      </c>
      <c r="J187" s="54">
        <v>39990</v>
      </c>
      <c r="K187" s="90">
        <f t="shared" si="7"/>
        <v>0.49379746835443039</v>
      </c>
      <c r="L187"/>
      <c r="M187"/>
      <c r="N187"/>
    </row>
    <row r="188" spans="1:14" s="2" customFormat="1">
      <c r="A188" s="69">
        <v>84</v>
      </c>
      <c r="B188" s="30">
        <v>26</v>
      </c>
      <c r="C188" s="30">
        <v>3</v>
      </c>
      <c r="D188" s="30" t="s">
        <v>162</v>
      </c>
      <c r="E188" s="30" t="s">
        <v>334</v>
      </c>
      <c r="F188" s="30" t="str">
        <f t="shared" si="6"/>
        <v>BLK</v>
      </c>
      <c r="G188" s="31" t="s">
        <v>163</v>
      </c>
      <c r="H188" s="87">
        <v>59000</v>
      </c>
      <c r="I188" s="32">
        <v>47000</v>
      </c>
      <c r="J188" s="32">
        <v>41850</v>
      </c>
      <c r="K188" s="88">
        <f t="shared" si="7"/>
        <v>0.29067796610169494</v>
      </c>
      <c r="L188"/>
      <c r="M188"/>
      <c r="N188"/>
    </row>
    <row r="189" spans="1:14" s="2" customFormat="1">
      <c r="A189" s="70">
        <v>84</v>
      </c>
      <c r="B189" s="27">
        <v>26</v>
      </c>
      <c r="C189" s="27">
        <v>3</v>
      </c>
      <c r="D189" s="27" t="s">
        <v>162</v>
      </c>
      <c r="E189" s="27" t="s">
        <v>335</v>
      </c>
      <c r="F189" s="27" t="str">
        <f t="shared" si="6"/>
        <v>LBE</v>
      </c>
      <c r="G189" s="28" t="s">
        <v>163</v>
      </c>
      <c r="H189" s="81">
        <v>59000</v>
      </c>
      <c r="I189" s="29">
        <v>47000</v>
      </c>
      <c r="J189" s="29">
        <v>41850</v>
      </c>
      <c r="K189" s="82">
        <f t="shared" si="7"/>
        <v>0.29067796610169494</v>
      </c>
      <c r="L189"/>
      <c r="M189"/>
      <c r="N189"/>
    </row>
    <row r="190" spans="1:14" s="2" customFormat="1">
      <c r="A190" s="71">
        <v>84</v>
      </c>
      <c r="B190" s="52">
        <v>26</v>
      </c>
      <c r="C190" s="52">
        <v>3</v>
      </c>
      <c r="D190" s="52" t="s">
        <v>162</v>
      </c>
      <c r="E190" s="52" t="s">
        <v>336</v>
      </c>
      <c r="F190" s="52" t="str">
        <f t="shared" si="6"/>
        <v>MLG</v>
      </c>
      <c r="G190" s="53" t="s">
        <v>163</v>
      </c>
      <c r="H190" s="89">
        <v>59000</v>
      </c>
      <c r="I190" s="54">
        <v>47000</v>
      </c>
      <c r="J190" s="54">
        <v>41850</v>
      </c>
      <c r="K190" s="90">
        <f t="shared" si="7"/>
        <v>0.29067796610169494</v>
      </c>
      <c r="L190"/>
      <c r="M190"/>
      <c r="N190"/>
    </row>
    <row r="191" spans="1:14" s="2" customFormat="1">
      <c r="A191" s="69">
        <v>85</v>
      </c>
      <c r="B191" s="45">
        <v>26</v>
      </c>
      <c r="C191" s="45">
        <v>3</v>
      </c>
      <c r="D191" s="45" t="s">
        <v>160</v>
      </c>
      <c r="E191" s="45" t="s">
        <v>337</v>
      </c>
      <c r="F191" s="45" t="str">
        <f t="shared" si="6"/>
        <v>BLK</v>
      </c>
      <c r="G191" s="46" t="s">
        <v>161</v>
      </c>
      <c r="H191" s="79">
        <v>59000</v>
      </c>
      <c r="I191" s="47">
        <v>47000</v>
      </c>
      <c r="J191" s="47">
        <v>41850</v>
      </c>
      <c r="K191" s="80">
        <f t="shared" si="7"/>
        <v>0.29067796610169494</v>
      </c>
      <c r="L191"/>
      <c r="M191"/>
      <c r="N191"/>
    </row>
    <row r="192" spans="1:14" s="2" customFormat="1">
      <c r="A192" s="70">
        <v>85</v>
      </c>
      <c r="B192" s="27">
        <v>26</v>
      </c>
      <c r="C192" s="27">
        <v>3</v>
      </c>
      <c r="D192" s="27" t="s">
        <v>160</v>
      </c>
      <c r="E192" s="27" t="s">
        <v>338</v>
      </c>
      <c r="F192" s="27" t="str">
        <f t="shared" si="6"/>
        <v>MLG</v>
      </c>
      <c r="G192" s="28" t="s">
        <v>161</v>
      </c>
      <c r="H192" s="81">
        <v>59000</v>
      </c>
      <c r="I192" s="29">
        <v>47000</v>
      </c>
      <c r="J192" s="29">
        <v>41850</v>
      </c>
      <c r="K192" s="82">
        <f t="shared" si="7"/>
        <v>0.29067796610169494</v>
      </c>
      <c r="L192"/>
      <c r="M192"/>
      <c r="N192"/>
    </row>
    <row r="193" spans="1:14" s="2" customFormat="1">
      <c r="A193" s="71">
        <v>85</v>
      </c>
      <c r="B193" s="33">
        <v>26</v>
      </c>
      <c r="C193" s="33">
        <v>3</v>
      </c>
      <c r="D193" s="33" t="s">
        <v>160</v>
      </c>
      <c r="E193" s="33" t="s">
        <v>339</v>
      </c>
      <c r="F193" s="33" t="str">
        <f t="shared" si="6"/>
        <v>MWH</v>
      </c>
      <c r="G193" s="34" t="s">
        <v>161</v>
      </c>
      <c r="H193" s="83">
        <v>59000</v>
      </c>
      <c r="I193" s="35">
        <v>47000</v>
      </c>
      <c r="J193" s="35">
        <v>41850</v>
      </c>
      <c r="K193" s="84">
        <f t="shared" si="7"/>
        <v>0.29067796610169494</v>
      </c>
      <c r="L193"/>
      <c r="M193"/>
      <c r="N193"/>
    </row>
    <row r="194" spans="1:14" s="2" customFormat="1">
      <c r="A194" s="69">
        <v>86</v>
      </c>
      <c r="B194" s="45">
        <v>26</v>
      </c>
      <c r="C194" s="45">
        <v>3</v>
      </c>
      <c r="D194" s="45" t="s">
        <v>103</v>
      </c>
      <c r="E194" s="45" t="s">
        <v>340</v>
      </c>
      <c r="F194" s="45" t="str">
        <f t="shared" si="6"/>
        <v>MLG</v>
      </c>
      <c r="G194" s="46" t="s">
        <v>104</v>
      </c>
      <c r="H194" s="79">
        <v>59000</v>
      </c>
      <c r="I194" s="47">
        <v>47000</v>
      </c>
      <c r="J194" s="47">
        <v>41850</v>
      </c>
      <c r="K194" s="80">
        <f t="shared" si="7"/>
        <v>0.29067796610169494</v>
      </c>
      <c r="L194"/>
      <c r="M194"/>
      <c r="N194"/>
    </row>
    <row r="195" spans="1:14" s="2" customFormat="1">
      <c r="A195" s="71">
        <v>86</v>
      </c>
      <c r="B195" s="33">
        <v>26</v>
      </c>
      <c r="C195" s="33">
        <v>3</v>
      </c>
      <c r="D195" s="33" t="s">
        <v>103</v>
      </c>
      <c r="E195" s="33" t="s">
        <v>341</v>
      </c>
      <c r="F195" s="33" t="str">
        <f t="shared" ref="F195:F220" si="8">RIGHT(E195,3)</f>
        <v>OTM</v>
      </c>
      <c r="G195" s="34" t="s">
        <v>104</v>
      </c>
      <c r="H195" s="83">
        <v>59000</v>
      </c>
      <c r="I195" s="35">
        <v>47000</v>
      </c>
      <c r="J195" s="35">
        <v>41850</v>
      </c>
      <c r="K195" s="84">
        <f t="shared" si="7"/>
        <v>0.29067796610169494</v>
      </c>
      <c r="L195"/>
      <c r="M195"/>
      <c r="N195"/>
    </row>
    <row r="196" spans="1:14" s="2" customFormat="1">
      <c r="A196" s="69">
        <v>87</v>
      </c>
      <c r="B196" s="45">
        <v>26</v>
      </c>
      <c r="C196" s="45">
        <v>1</v>
      </c>
      <c r="D196" s="45" t="s">
        <v>172</v>
      </c>
      <c r="E196" s="45" t="s">
        <v>302</v>
      </c>
      <c r="F196" s="45" t="str">
        <f t="shared" si="8"/>
        <v>GRY</v>
      </c>
      <c r="G196" s="46" t="s">
        <v>173</v>
      </c>
      <c r="H196" s="79">
        <v>89000</v>
      </c>
      <c r="I196" s="47">
        <v>48000</v>
      </c>
      <c r="J196" s="47">
        <v>44640</v>
      </c>
      <c r="K196" s="80">
        <f t="shared" si="7"/>
        <v>0.49842696629213479</v>
      </c>
      <c r="L196"/>
      <c r="M196"/>
      <c r="N196"/>
    </row>
    <row r="197" spans="1:14" s="2" customFormat="1">
      <c r="A197" s="71">
        <v>87</v>
      </c>
      <c r="B197" s="33">
        <v>26</v>
      </c>
      <c r="C197" s="33">
        <v>1</v>
      </c>
      <c r="D197" s="33" t="s">
        <v>172</v>
      </c>
      <c r="E197" s="33" t="s">
        <v>303</v>
      </c>
      <c r="F197" s="33" t="str">
        <f t="shared" si="8"/>
        <v>SBL</v>
      </c>
      <c r="G197" s="34" t="s">
        <v>173</v>
      </c>
      <c r="H197" s="83">
        <v>89000</v>
      </c>
      <c r="I197" s="35">
        <v>48000</v>
      </c>
      <c r="J197" s="35">
        <v>44640</v>
      </c>
      <c r="K197" s="84">
        <f t="shared" si="7"/>
        <v>0.49842696629213479</v>
      </c>
      <c r="L197"/>
      <c r="M197"/>
      <c r="N197"/>
    </row>
    <row r="198" spans="1:14" s="2" customFormat="1">
      <c r="A198" s="69">
        <v>88</v>
      </c>
      <c r="B198" s="45">
        <v>25</v>
      </c>
      <c r="C198" s="45">
        <v>1</v>
      </c>
      <c r="D198" s="45" t="s">
        <v>17</v>
      </c>
      <c r="E198" s="45" t="s">
        <v>221</v>
      </c>
      <c r="F198" s="45" t="str">
        <f t="shared" si="8"/>
        <v>BLU</v>
      </c>
      <c r="G198" s="46" t="s">
        <v>18</v>
      </c>
      <c r="H198" s="79">
        <v>89000</v>
      </c>
      <c r="I198" s="47">
        <v>48000</v>
      </c>
      <c r="J198" s="47">
        <v>42780</v>
      </c>
      <c r="K198" s="80">
        <f t="shared" si="7"/>
        <v>0.51932584269662918</v>
      </c>
      <c r="L198"/>
      <c r="M198"/>
      <c r="N198"/>
    </row>
    <row r="199" spans="1:14" s="2" customFormat="1">
      <c r="A199" s="71">
        <v>88</v>
      </c>
      <c r="B199" s="33">
        <v>25</v>
      </c>
      <c r="C199" s="33">
        <v>1</v>
      </c>
      <c r="D199" s="33" t="s">
        <v>17</v>
      </c>
      <c r="E199" s="33" t="s">
        <v>222</v>
      </c>
      <c r="F199" s="33" t="str">
        <f t="shared" si="8"/>
        <v>SBL</v>
      </c>
      <c r="G199" s="34" t="s">
        <v>18</v>
      </c>
      <c r="H199" s="83">
        <v>89000</v>
      </c>
      <c r="I199" s="35">
        <v>48000</v>
      </c>
      <c r="J199" s="35">
        <v>42780</v>
      </c>
      <c r="K199" s="84">
        <f t="shared" si="7"/>
        <v>0.51932584269662918</v>
      </c>
      <c r="L199"/>
      <c r="M199"/>
      <c r="N199"/>
    </row>
    <row r="200" spans="1:14" s="2" customFormat="1">
      <c r="A200" s="72">
        <v>89</v>
      </c>
      <c r="B200" s="58">
        <v>26</v>
      </c>
      <c r="C200" s="58">
        <v>1</v>
      </c>
      <c r="D200" s="58" t="s">
        <v>188</v>
      </c>
      <c r="E200" s="58" t="s">
        <v>297</v>
      </c>
      <c r="F200" s="58" t="str">
        <f t="shared" si="8"/>
        <v>LBL</v>
      </c>
      <c r="G200" s="50" t="s">
        <v>189</v>
      </c>
      <c r="H200" s="93">
        <v>89000</v>
      </c>
      <c r="I200" s="59">
        <v>48000</v>
      </c>
      <c r="J200" s="59">
        <v>42780</v>
      </c>
      <c r="K200" s="94">
        <f t="shared" si="7"/>
        <v>0.51932584269662918</v>
      </c>
      <c r="L200"/>
      <c r="M200"/>
      <c r="N200"/>
    </row>
    <row r="201" spans="1:14" s="2" customFormat="1">
      <c r="A201" s="69">
        <v>90</v>
      </c>
      <c r="B201" s="45">
        <v>25</v>
      </c>
      <c r="C201" s="45">
        <v>1</v>
      </c>
      <c r="D201" s="45" t="s">
        <v>131</v>
      </c>
      <c r="E201" s="45" t="s">
        <v>232</v>
      </c>
      <c r="F201" s="45" t="str">
        <f t="shared" si="8"/>
        <v>NVY</v>
      </c>
      <c r="G201" s="46" t="s">
        <v>132</v>
      </c>
      <c r="H201" s="79">
        <v>49000</v>
      </c>
      <c r="I201" s="47">
        <v>26000</v>
      </c>
      <c r="J201" s="47">
        <v>22320</v>
      </c>
      <c r="K201" s="80">
        <f t="shared" si="7"/>
        <v>0.54448979591836733</v>
      </c>
      <c r="L201"/>
      <c r="M201"/>
      <c r="N201"/>
    </row>
    <row r="202" spans="1:14" s="2" customFormat="1">
      <c r="A202" s="71">
        <v>90</v>
      </c>
      <c r="B202" s="33">
        <v>25</v>
      </c>
      <c r="C202" s="33">
        <v>1</v>
      </c>
      <c r="D202" s="33" t="s">
        <v>131</v>
      </c>
      <c r="E202" s="33" t="s">
        <v>233</v>
      </c>
      <c r="F202" s="33" t="str">
        <f t="shared" si="8"/>
        <v>OTM</v>
      </c>
      <c r="G202" s="34" t="s">
        <v>132</v>
      </c>
      <c r="H202" s="83">
        <v>49000</v>
      </c>
      <c r="I202" s="35">
        <v>26000</v>
      </c>
      <c r="J202" s="35">
        <v>22320</v>
      </c>
      <c r="K202" s="84">
        <f t="shared" si="7"/>
        <v>0.54448979591836733</v>
      </c>
      <c r="L202"/>
      <c r="M202"/>
      <c r="N202"/>
    </row>
    <row r="203" spans="1:14" s="2" customFormat="1">
      <c r="A203" s="72">
        <v>91</v>
      </c>
      <c r="B203" s="58">
        <v>26</v>
      </c>
      <c r="C203" s="58">
        <v>1</v>
      </c>
      <c r="D203" s="58" t="s">
        <v>99</v>
      </c>
      <c r="E203" s="58" t="s">
        <v>311</v>
      </c>
      <c r="F203" s="58" t="str">
        <f t="shared" si="8"/>
        <v>LBL</v>
      </c>
      <c r="G203" s="50" t="s">
        <v>100</v>
      </c>
      <c r="H203" s="93">
        <v>69000</v>
      </c>
      <c r="I203" s="59">
        <v>37000</v>
      </c>
      <c r="J203" s="59">
        <v>32550</v>
      </c>
      <c r="K203" s="94">
        <f t="shared" ref="K203:K220" si="9">1-J203/H203</f>
        <v>0.52826086956521734</v>
      </c>
      <c r="L203"/>
      <c r="M203"/>
      <c r="N203"/>
    </row>
    <row r="204" spans="1:14" s="2" customFormat="1">
      <c r="A204" s="69">
        <v>92</v>
      </c>
      <c r="B204" s="30">
        <v>24</v>
      </c>
      <c r="C204" s="30">
        <v>5</v>
      </c>
      <c r="D204" s="30" t="s">
        <v>68</v>
      </c>
      <c r="E204" s="30" t="s">
        <v>216</v>
      </c>
      <c r="F204" s="30" t="str">
        <f t="shared" si="8"/>
        <v>BEI</v>
      </c>
      <c r="G204" s="31" t="s">
        <v>69</v>
      </c>
      <c r="H204" s="87">
        <v>39000</v>
      </c>
      <c r="I204" s="32">
        <v>24000</v>
      </c>
      <c r="J204" s="32">
        <v>20460</v>
      </c>
      <c r="K204" s="88">
        <f t="shared" si="9"/>
        <v>0.47538461538461541</v>
      </c>
      <c r="L204"/>
      <c r="M204"/>
      <c r="N204"/>
    </row>
    <row r="205" spans="1:14" s="2" customFormat="1">
      <c r="A205" s="71">
        <v>92</v>
      </c>
      <c r="B205" s="52">
        <v>24</v>
      </c>
      <c r="C205" s="52">
        <v>5</v>
      </c>
      <c r="D205" s="52" t="s">
        <v>68</v>
      </c>
      <c r="E205" s="52" t="s">
        <v>217</v>
      </c>
      <c r="F205" s="52" t="str">
        <f t="shared" si="8"/>
        <v>BLK</v>
      </c>
      <c r="G205" s="53" t="s">
        <v>69</v>
      </c>
      <c r="H205" s="89">
        <v>39000</v>
      </c>
      <c r="I205" s="54">
        <v>24000</v>
      </c>
      <c r="J205" s="54">
        <v>20460</v>
      </c>
      <c r="K205" s="90">
        <f t="shared" si="9"/>
        <v>0.47538461538461541</v>
      </c>
      <c r="L205"/>
      <c r="M205"/>
      <c r="N205"/>
    </row>
    <row r="206" spans="1:14" s="2" customFormat="1">
      <c r="A206" s="69">
        <v>93</v>
      </c>
      <c r="B206" s="30">
        <v>25</v>
      </c>
      <c r="C206" s="30">
        <v>0</v>
      </c>
      <c r="D206" s="30" t="s">
        <v>31</v>
      </c>
      <c r="E206" s="30" t="s">
        <v>292</v>
      </c>
      <c r="F206" s="30" t="str">
        <f t="shared" si="8"/>
        <v>DGY</v>
      </c>
      <c r="G206" s="31" t="s">
        <v>30</v>
      </c>
      <c r="H206" s="87">
        <v>45000</v>
      </c>
      <c r="I206" s="32">
        <v>24000</v>
      </c>
      <c r="J206" s="32">
        <v>20460</v>
      </c>
      <c r="K206" s="88">
        <f t="shared" si="9"/>
        <v>0.54533333333333334</v>
      </c>
      <c r="L206"/>
      <c r="M206"/>
      <c r="N206"/>
    </row>
    <row r="207" spans="1:14" s="2" customFormat="1">
      <c r="A207" s="71">
        <v>93</v>
      </c>
      <c r="B207" s="52">
        <v>25</v>
      </c>
      <c r="C207" s="52">
        <v>0</v>
      </c>
      <c r="D207" s="52" t="s">
        <v>31</v>
      </c>
      <c r="E207" s="52" t="s">
        <v>293</v>
      </c>
      <c r="F207" s="52" t="str">
        <f t="shared" si="8"/>
        <v>NVY</v>
      </c>
      <c r="G207" s="53" t="s">
        <v>30</v>
      </c>
      <c r="H207" s="89">
        <v>45000</v>
      </c>
      <c r="I207" s="54">
        <v>24000</v>
      </c>
      <c r="J207" s="54">
        <v>20460</v>
      </c>
      <c r="K207" s="90">
        <f t="shared" si="9"/>
        <v>0.54533333333333334</v>
      </c>
      <c r="L207"/>
      <c r="M207"/>
      <c r="N207"/>
    </row>
    <row r="208" spans="1:14" s="2" customFormat="1">
      <c r="A208" s="69">
        <v>94</v>
      </c>
      <c r="B208" s="45">
        <v>25</v>
      </c>
      <c r="C208" s="45">
        <v>5</v>
      </c>
      <c r="D208" s="45" t="s">
        <v>168</v>
      </c>
      <c r="E208" s="45" t="s">
        <v>285</v>
      </c>
      <c r="F208" s="45" t="str">
        <f t="shared" si="8"/>
        <v>BEI</v>
      </c>
      <c r="G208" s="46" t="s">
        <v>169</v>
      </c>
      <c r="H208" s="79">
        <v>42000</v>
      </c>
      <c r="I208" s="47">
        <v>24000</v>
      </c>
      <c r="J208" s="47">
        <v>20460</v>
      </c>
      <c r="K208" s="80">
        <f t="shared" si="9"/>
        <v>0.5128571428571429</v>
      </c>
      <c r="L208"/>
      <c r="M208"/>
      <c r="N208"/>
    </row>
    <row r="209" spans="1:14" s="2" customFormat="1">
      <c r="A209" s="71">
        <v>94</v>
      </c>
      <c r="B209" s="33">
        <v>25</v>
      </c>
      <c r="C209" s="33">
        <v>5</v>
      </c>
      <c r="D209" s="33" t="s">
        <v>168</v>
      </c>
      <c r="E209" s="33" t="s">
        <v>286</v>
      </c>
      <c r="F209" s="33" t="str">
        <f t="shared" si="8"/>
        <v>BLK</v>
      </c>
      <c r="G209" s="34" t="s">
        <v>169</v>
      </c>
      <c r="H209" s="83">
        <v>42000</v>
      </c>
      <c r="I209" s="35">
        <v>24000</v>
      </c>
      <c r="J209" s="35">
        <v>20460</v>
      </c>
      <c r="K209" s="84">
        <f t="shared" si="9"/>
        <v>0.5128571428571429</v>
      </c>
      <c r="L209"/>
      <c r="M209"/>
      <c r="N209"/>
    </row>
    <row r="210" spans="1:14" s="2" customFormat="1">
      <c r="A210" s="69">
        <v>95</v>
      </c>
      <c r="B210" s="30">
        <v>24</v>
      </c>
      <c r="C210" s="30">
        <v>5</v>
      </c>
      <c r="D210" s="30" t="s">
        <v>164</v>
      </c>
      <c r="E210" s="30" t="s">
        <v>218</v>
      </c>
      <c r="F210" s="30" t="str">
        <f t="shared" si="8"/>
        <v>IVY</v>
      </c>
      <c r="G210" s="31" t="s">
        <v>165</v>
      </c>
      <c r="H210" s="87">
        <v>6900</v>
      </c>
      <c r="I210" s="32">
        <v>3900</v>
      </c>
      <c r="J210" s="32">
        <v>3900</v>
      </c>
      <c r="K210" s="88">
        <f t="shared" si="9"/>
        <v>0.43478260869565222</v>
      </c>
      <c r="L210"/>
      <c r="M210"/>
      <c r="N210"/>
    </row>
    <row r="211" spans="1:14" s="2" customFormat="1">
      <c r="A211" s="70">
        <v>95</v>
      </c>
      <c r="B211" s="27">
        <v>24</v>
      </c>
      <c r="C211" s="27">
        <v>5</v>
      </c>
      <c r="D211" s="27" t="s">
        <v>164</v>
      </c>
      <c r="E211" s="27" t="s">
        <v>219</v>
      </c>
      <c r="F211" s="27" t="str">
        <f t="shared" si="8"/>
        <v>MLG</v>
      </c>
      <c r="G211" s="28" t="s">
        <v>165</v>
      </c>
      <c r="H211" s="81">
        <v>6900</v>
      </c>
      <c r="I211" s="29">
        <v>3900</v>
      </c>
      <c r="J211" s="29">
        <v>3900</v>
      </c>
      <c r="K211" s="82">
        <f t="shared" si="9"/>
        <v>0.43478260869565222</v>
      </c>
      <c r="L211"/>
      <c r="M211"/>
      <c r="N211"/>
    </row>
    <row r="212" spans="1:14" s="2" customFormat="1">
      <c r="A212" s="71">
        <v>95</v>
      </c>
      <c r="B212" s="52">
        <v>24</v>
      </c>
      <c r="C212" s="52">
        <v>5</v>
      </c>
      <c r="D212" s="52" t="s">
        <v>164</v>
      </c>
      <c r="E212" s="52" t="s">
        <v>220</v>
      </c>
      <c r="F212" s="52" t="str">
        <f t="shared" si="8"/>
        <v>NVY</v>
      </c>
      <c r="G212" s="53" t="s">
        <v>165</v>
      </c>
      <c r="H212" s="89">
        <v>6900</v>
      </c>
      <c r="I212" s="54">
        <v>3900</v>
      </c>
      <c r="J212" s="54">
        <v>3900</v>
      </c>
      <c r="K212" s="90">
        <f t="shared" si="9"/>
        <v>0.43478260869565222</v>
      </c>
      <c r="L212"/>
      <c r="M212"/>
      <c r="N212"/>
    </row>
    <row r="213" spans="1:14" s="2" customFormat="1">
      <c r="A213" s="69">
        <v>96</v>
      </c>
      <c r="B213" s="30">
        <v>25</v>
      </c>
      <c r="C213" s="30">
        <v>0</v>
      </c>
      <c r="D213" s="30" t="s">
        <v>72</v>
      </c>
      <c r="E213" s="30" t="s">
        <v>294</v>
      </c>
      <c r="F213" s="30" t="str">
        <f t="shared" si="8"/>
        <v>CRE</v>
      </c>
      <c r="G213" s="31" t="s">
        <v>492</v>
      </c>
      <c r="H213" s="87">
        <v>6900</v>
      </c>
      <c r="I213" s="32">
        <v>3900</v>
      </c>
      <c r="J213" s="32">
        <v>3900</v>
      </c>
      <c r="K213" s="88">
        <f t="shared" si="9"/>
        <v>0.43478260869565222</v>
      </c>
      <c r="L213"/>
      <c r="M213"/>
      <c r="N213"/>
    </row>
    <row r="214" spans="1:14" s="2" customFormat="1">
      <c r="A214" s="70">
        <v>96</v>
      </c>
      <c r="B214" s="55">
        <v>25</v>
      </c>
      <c r="C214" s="55">
        <v>0</v>
      </c>
      <c r="D214" s="55" t="s">
        <v>72</v>
      </c>
      <c r="E214" s="55" t="s">
        <v>295</v>
      </c>
      <c r="F214" s="55" t="str">
        <f t="shared" si="8"/>
        <v>MLG</v>
      </c>
      <c r="G214" s="56" t="s">
        <v>492</v>
      </c>
      <c r="H214" s="91">
        <v>6900</v>
      </c>
      <c r="I214" s="57">
        <v>3900</v>
      </c>
      <c r="J214" s="57">
        <v>3900</v>
      </c>
      <c r="K214" s="92">
        <f t="shared" si="9"/>
        <v>0.43478260869565222</v>
      </c>
      <c r="L214"/>
      <c r="M214"/>
      <c r="N214"/>
    </row>
    <row r="215" spans="1:14" s="2" customFormat="1">
      <c r="A215" s="71">
        <v>96</v>
      </c>
      <c r="B215" s="33">
        <v>25</v>
      </c>
      <c r="C215" s="33">
        <v>0</v>
      </c>
      <c r="D215" s="33" t="s">
        <v>72</v>
      </c>
      <c r="E215" s="33" t="s">
        <v>296</v>
      </c>
      <c r="F215" s="33" t="str">
        <f t="shared" si="8"/>
        <v>WHT</v>
      </c>
      <c r="G215" s="34" t="s">
        <v>492</v>
      </c>
      <c r="H215" s="83">
        <v>6900</v>
      </c>
      <c r="I215" s="35">
        <v>3900</v>
      </c>
      <c r="J215" s="35">
        <v>3900</v>
      </c>
      <c r="K215" s="84">
        <f t="shared" si="9"/>
        <v>0.43478260869565222</v>
      </c>
      <c r="L215"/>
      <c r="M215"/>
      <c r="N215"/>
    </row>
    <row r="216" spans="1:14" s="2" customFormat="1">
      <c r="A216" s="69">
        <v>97</v>
      </c>
      <c r="B216" s="30">
        <v>25</v>
      </c>
      <c r="C216" s="30">
        <v>5</v>
      </c>
      <c r="D216" s="30" t="s">
        <v>74</v>
      </c>
      <c r="E216" s="30" t="s">
        <v>287</v>
      </c>
      <c r="F216" s="30" t="str">
        <f t="shared" si="8"/>
        <v>BEI</v>
      </c>
      <c r="G216" s="31" t="s">
        <v>73</v>
      </c>
      <c r="H216" s="87">
        <v>6900</v>
      </c>
      <c r="I216" s="32">
        <v>3900</v>
      </c>
      <c r="J216" s="32">
        <v>3900</v>
      </c>
      <c r="K216" s="88">
        <f t="shared" si="9"/>
        <v>0.43478260869565222</v>
      </c>
      <c r="L216"/>
      <c r="M216"/>
      <c r="N216"/>
    </row>
    <row r="217" spans="1:14" s="2" customFormat="1">
      <c r="A217" s="70">
        <v>97</v>
      </c>
      <c r="B217" s="55">
        <v>25</v>
      </c>
      <c r="C217" s="55">
        <v>5</v>
      </c>
      <c r="D217" s="55" t="s">
        <v>74</v>
      </c>
      <c r="E217" s="55" t="s">
        <v>288</v>
      </c>
      <c r="F217" s="55" t="str">
        <f t="shared" si="8"/>
        <v>LKH</v>
      </c>
      <c r="G217" s="56" t="s">
        <v>73</v>
      </c>
      <c r="H217" s="91">
        <v>6900</v>
      </c>
      <c r="I217" s="57">
        <v>3900</v>
      </c>
      <c r="J217" s="57">
        <v>3900</v>
      </c>
      <c r="K217" s="92">
        <f t="shared" si="9"/>
        <v>0.43478260869565222</v>
      </c>
      <c r="L217"/>
      <c r="M217"/>
      <c r="N217"/>
    </row>
    <row r="218" spans="1:14" s="2" customFormat="1">
      <c r="A218" s="71">
        <v>97</v>
      </c>
      <c r="B218" s="33">
        <v>25</v>
      </c>
      <c r="C218" s="33">
        <v>5</v>
      </c>
      <c r="D218" s="33" t="s">
        <v>74</v>
      </c>
      <c r="E218" s="33" t="s">
        <v>289</v>
      </c>
      <c r="F218" s="33" t="str">
        <f t="shared" si="8"/>
        <v>MWH</v>
      </c>
      <c r="G218" s="34" t="s">
        <v>73</v>
      </c>
      <c r="H218" s="83">
        <v>6900</v>
      </c>
      <c r="I218" s="35">
        <v>3900</v>
      </c>
      <c r="J218" s="35">
        <v>3900</v>
      </c>
      <c r="K218" s="84">
        <f t="shared" si="9"/>
        <v>0.43478260869565222</v>
      </c>
      <c r="L218"/>
      <c r="M218"/>
      <c r="N218"/>
    </row>
    <row r="219" spans="1:14" s="2" customFormat="1">
      <c r="A219" s="69">
        <v>98</v>
      </c>
      <c r="B219" s="30">
        <v>25</v>
      </c>
      <c r="C219" s="30">
        <v>5</v>
      </c>
      <c r="D219" s="30" t="s">
        <v>60</v>
      </c>
      <c r="E219" s="30" t="s">
        <v>290</v>
      </c>
      <c r="F219" s="30" t="str">
        <f t="shared" si="8"/>
        <v>BEI</v>
      </c>
      <c r="G219" s="31" t="s">
        <v>61</v>
      </c>
      <c r="H219" s="87">
        <v>6900</v>
      </c>
      <c r="I219" s="32">
        <v>3900</v>
      </c>
      <c r="J219" s="32">
        <v>3900</v>
      </c>
      <c r="K219" s="88">
        <f t="shared" si="9"/>
        <v>0.43478260869565222</v>
      </c>
      <c r="L219"/>
      <c r="M219"/>
      <c r="N219"/>
    </row>
    <row r="220" spans="1:14" s="2" customFormat="1" ht="18" thickBot="1">
      <c r="A220" s="71">
        <v>98</v>
      </c>
      <c r="B220" s="52">
        <v>25</v>
      </c>
      <c r="C220" s="52">
        <v>5</v>
      </c>
      <c r="D220" s="52" t="s">
        <v>60</v>
      </c>
      <c r="E220" s="52" t="s">
        <v>291</v>
      </c>
      <c r="F220" s="52" t="str">
        <f t="shared" si="8"/>
        <v>PNK</v>
      </c>
      <c r="G220" s="53" t="s">
        <v>61</v>
      </c>
      <c r="H220" s="105">
        <v>6900</v>
      </c>
      <c r="I220" s="106">
        <v>3900</v>
      </c>
      <c r="J220" s="106">
        <v>3900</v>
      </c>
      <c r="K220" s="107">
        <f t="shared" si="9"/>
        <v>0.43478260869565222</v>
      </c>
      <c r="L220"/>
      <c r="M220"/>
      <c r="N220"/>
    </row>
    <row r="221" spans="1:14" s="2" customFormat="1">
      <c r="D221"/>
      <c r="E221"/>
      <c r="F221"/>
      <c r="G221"/>
      <c r="H221" s="6"/>
      <c r="I221" s="6"/>
      <c r="J221"/>
      <c r="K221"/>
      <c r="L221"/>
      <c r="M221"/>
      <c r="N221"/>
    </row>
    <row r="222" spans="1:14" s="2" customFormat="1">
      <c r="D222"/>
      <c r="E222"/>
      <c r="F222"/>
      <c r="G222"/>
      <c r="H222" s="6"/>
      <c r="I222" s="6"/>
      <c r="J222"/>
      <c r="K222"/>
      <c r="L222"/>
      <c r="M222"/>
      <c r="N222"/>
    </row>
    <row r="223" spans="1:14" s="2" customFormat="1">
      <c r="D223"/>
      <c r="E223"/>
      <c r="F223"/>
      <c r="G223"/>
      <c r="H223" s="6"/>
      <c r="I223" s="6"/>
      <c r="J223"/>
      <c r="K223"/>
      <c r="L223"/>
      <c r="M223"/>
      <c r="N223"/>
    </row>
    <row r="224" spans="1:14" s="2" customFormat="1">
      <c r="D224"/>
      <c r="E224"/>
      <c r="F224"/>
      <c r="G224"/>
      <c r="H224" s="6"/>
      <c r="I224" s="6"/>
      <c r="J224"/>
      <c r="K224"/>
      <c r="L224"/>
      <c r="M224"/>
      <c r="N224"/>
    </row>
    <row r="225" spans="1:14" s="2" customFormat="1">
      <c r="D225"/>
      <c r="E225"/>
      <c r="F225"/>
      <c r="G225"/>
      <c r="H225" s="6"/>
      <c r="I225" s="6"/>
      <c r="J225"/>
      <c r="K225"/>
      <c r="L225"/>
      <c r="M225"/>
      <c r="N225"/>
    </row>
    <row r="226" spans="1:14" s="2" customFormat="1">
      <c r="D226"/>
      <c r="E226"/>
      <c r="F226"/>
      <c r="G226"/>
      <c r="H226" s="6"/>
      <c r="I226" s="6"/>
      <c r="J226"/>
      <c r="K226"/>
      <c r="L226"/>
      <c r="M226"/>
      <c r="N226"/>
    </row>
    <row r="227" spans="1:14" s="2" customFormat="1">
      <c r="D227"/>
      <c r="E227"/>
      <c r="F227"/>
      <c r="G227"/>
      <c r="H227" s="6"/>
      <c r="I227" s="6"/>
      <c r="J227"/>
      <c r="K227"/>
      <c r="L227"/>
      <c r="M227"/>
      <c r="N227"/>
    </row>
    <row r="228" spans="1:14" s="2" customFormat="1">
      <c r="D228"/>
      <c r="E228"/>
      <c r="F228"/>
      <c r="G228"/>
      <c r="H228" s="6"/>
      <c r="I228" s="6"/>
      <c r="J228"/>
      <c r="K228"/>
      <c r="L228"/>
      <c r="M228"/>
      <c r="N228"/>
    </row>
    <row r="229" spans="1:14" s="2" customFormat="1">
      <c r="D229"/>
      <c r="E229"/>
      <c r="F229"/>
      <c r="G229"/>
      <c r="H229" s="6"/>
      <c r="I229" s="6"/>
      <c r="J229"/>
      <c r="K229"/>
      <c r="L229"/>
      <c r="M229"/>
      <c r="N229"/>
    </row>
    <row r="230" spans="1:14" s="2" customFormat="1">
      <c r="D230"/>
      <c r="E230"/>
      <c r="F230"/>
      <c r="G230"/>
      <c r="H230" s="6"/>
      <c r="I230" s="6"/>
      <c r="J230"/>
      <c r="K230"/>
      <c r="L230"/>
      <c r="M230"/>
      <c r="N230"/>
    </row>
    <row r="231" spans="1:14" s="2" customFormat="1">
      <c r="D231"/>
      <c r="E231"/>
      <c r="F231"/>
      <c r="G231"/>
      <c r="H231" s="6"/>
      <c r="I231" s="6"/>
      <c r="J231"/>
      <c r="K231"/>
      <c r="L231"/>
      <c r="M231"/>
      <c r="N231"/>
    </row>
    <row r="232" spans="1:14" s="2" customFormat="1">
      <c r="D232"/>
      <c r="E232"/>
      <c r="F232"/>
      <c r="G232"/>
      <c r="H232" s="6"/>
      <c r="I232" s="6"/>
      <c r="J232"/>
      <c r="K232"/>
      <c r="L232"/>
      <c r="M232"/>
      <c r="N232"/>
    </row>
    <row r="233" spans="1:14" s="6" customFormat="1">
      <c r="A233" s="2"/>
      <c r="B233" s="2"/>
      <c r="C233" s="2"/>
      <c r="D233"/>
      <c r="E233"/>
      <c r="F233"/>
      <c r="G233"/>
      <c r="J233"/>
      <c r="K233"/>
      <c r="L233"/>
      <c r="M233"/>
      <c r="N233"/>
    </row>
    <row r="234" spans="1:14" s="6" customFormat="1">
      <c r="A234" s="2"/>
      <c r="B234" s="2"/>
      <c r="C234" s="2"/>
      <c r="D234"/>
      <c r="E234"/>
      <c r="F234"/>
      <c r="G234"/>
      <c r="J234"/>
      <c r="K234"/>
      <c r="L234"/>
      <c r="M234"/>
      <c r="N234"/>
    </row>
    <row r="235" spans="1:14" s="6" customFormat="1">
      <c r="A235" s="2"/>
      <c r="B235" s="2"/>
      <c r="C235" s="2"/>
      <c r="D235"/>
      <c r="E235"/>
      <c r="F235"/>
      <c r="G235"/>
      <c r="J235"/>
      <c r="K235"/>
      <c r="L235"/>
      <c r="M235"/>
      <c r="N235"/>
    </row>
  </sheetData>
  <phoneticPr fontId="27" type="noConversion"/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2D8-75C8-450E-89D4-0ADF4A006D6D}">
  <dimension ref="B1:T243"/>
  <sheetViews>
    <sheetView zoomScale="70" zoomScaleNormal="70" workbookViewId="0">
      <pane xSplit="6" ySplit="8" topLeftCell="G138" activePane="bottomRight" state="frozen"/>
      <selection pane="topRight" activeCell="F1" sqref="F1"/>
      <selection pane="bottomLeft" activeCell="A8" sqref="A8"/>
      <selection pane="bottomRight" activeCell="C157" sqref="C157"/>
    </sheetView>
  </sheetViews>
  <sheetFormatPr baseColWidth="10" defaultColWidth="8.83203125" defaultRowHeight="17"/>
  <cols>
    <col min="1" max="1" width="4.33203125" customWidth="1"/>
    <col min="2" max="2" width="9" style="2"/>
    <col min="3" max="4" width="4.6640625" style="2" bestFit="1" customWidth="1"/>
    <col min="5" max="5" width="12.33203125" style="2" customWidth="1"/>
    <col min="6" max="6" width="15.1640625" style="2" bestFit="1" customWidth="1"/>
    <col min="7" max="7" width="12.33203125" style="2" customWidth="1"/>
    <col min="8" max="8" width="12.6640625" bestFit="1" customWidth="1"/>
    <col min="9" max="9" width="18.6640625" bestFit="1" customWidth="1"/>
    <col min="10" max="10" width="54.33203125" bestFit="1" customWidth="1"/>
    <col min="11" max="11" width="14.1640625" customWidth="1"/>
    <col min="12" max="12" width="10.1640625" style="6" bestFit="1" customWidth="1"/>
    <col min="13" max="13" width="14.1640625" style="6" customWidth="1"/>
    <col min="14" max="14" width="20.33203125" customWidth="1"/>
    <col min="15" max="15" width="14.1640625" style="6" bestFit="1" customWidth="1"/>
    <col min="16" max="16" width="15.6640625" customWidth="1"/>
    <col min="17" max="18" width="11.5" customWidth="1"/>
    <col min="19" max="19" width="9" style="2"/>
  </cols>
  <sheetData>
    <row r="1" spans="2:19">
      <c r="C1" s="1"/>
      <c r="D1" s="1"/>
      <c r="E1" s="1"/>
      <c r="F1" s="1"/>
      <c r="G1" s="1"/>
      <c r="H1" s="1"/>
      <c r="I1" s="1"/>
      <c r="J1" s="1"/>
      <c r="K1" s="1"/>
    </row>
    <row r="2" spans="2:19">
      <c r="B2" s="1" t="s">
        <v>418</v>
      </c>
      <c r="D2" s="1"/>
      <c r="E2" s="1"/>
      <c r="F2" s="1"/>
      <c r="G2" s="1"/>
      <c r="H2" s="1"/>
      <c r="I2" s="1"/>
      <c r="J2" s="1"/>
      <c r="K2" s="1"/>
    </row>
    <row r="3" spans="2:19">
      <c r="B3" s="1" t="s">
        <v>461</v>
      </c>
      <c r="D3" s="1"/>
      <c r="E3" s="1"/>
      <c r="F3" s="1"/>
      <c r="G3" s="1"/>
      <c r="H3" s="1"/>
      <c r="I3" s="1"/>
      <c r="J3" s="1"/>
      <c r="K3" s="1"/>
    </row>
    <row r="4" spans="2:19">
      <c r="B4" s="1" t="s">
        <v>415</v>
      </c>
      <c r="D4" s="1"/>
      <c r="E4" s="1"/>
      <c r="F4" s="1"/>
      <c r="G4" s="1"/>
      <c r="H4" s="1"/>
      <c r="I4" s="1"/>
      <c r="J4" s="1"/>
      <c r="K4" s="1"/>
    </row>
    <row r="5" spans="2:19">
      <c r="B5" s="1" t="s">
        <v>423</v>
      </c>
      <c r="D5" s="1"/>
      <c r="E5" s="1"/>
      <c r="F5" s="1"/>
      <c r="G5" s="1"/>
      <c r="H5" s="1"/>
      <c r="I5" s="1"/>
      <c r="J5" s="1"/>
      <c r="K5" s="1"/>
    </row>
    <row r="6" spans="2:19">
      <c r="C6" s="1"/>
      <c r="D6" s="1"/>
      <c r="E6" s="1"/>
      <c r="F6" s="1"/>
      <c r="G6" s="1"/>
      <c r="H6" s="1"/>
      <c r="I6" s="1"/>
      <c r="J6" s="1"/>
      <c r="K6" s="1"/>
    </row>
    <row r="8" spans="2:19" s="2" customFormat="1">
      <c r="B8" s="10" t="s">
        <v>409</v>
      </c>
      <c r="C8" s="10" t="s">
        <v>1</v>
      </c>
      <c r="D8" s="10" t="s">
        <v>190</v>
      </c>
      <c r="E8" s="10" t="s">
        <v>383</v>
      </c>
      <c r="F8" s="10" t="s">
        <v>384</v>
      </c>
      <c r="G8" s="10" t="s">
        <v>408</v>
      </c>
      <c r="H8" s="10" t="s">
        <v>381</v>
      </c>
      <c r="I8" s="10" t="s">
        <v>382</v>
      </c>
      <c r="J8" s="10" t="s">
        <v>0</v>
      </c>
      <c r="K8" s="10" t="s">
        <v>460</v>
      </c>
      <c r="L8" s="11" t="s">
        <v>380</v>
      </c>
      <c r="M8" s="7" t="s">
        <v>414</v>
      </c>
      <c r="N8" s="5" t="s">
        <v>419</v>
      </c>
      <c r="O8" s="22" t="s">
        <v>416</v>
      </c>
      <c r="P8" s="23" t="s">
        <v>417</v>
      </c>
      <c r="Q8" s="3" t="s">
        <v>420</v>
      </c>
      <c r="R8" s="3" t="s">
        <v>417</v>
      </c>
      <c r="S8" s="9" t="s">
        <v>421</v>
      </c>
    </row>
    <row r="9" spans="2:19">
      <c r="B9" s="2">
        <v>1</v>
      </c>
      <c r="C9" s="2">
        <v>26</v>
      </c>
      <c r="D9" s="2">
        <v>1</v>
      </c>
      <c r="E9" s="2" t="s">
        <v>395</v>
      </c>
      <c r="F9" s="2" t="s">
        <v>396</v>
      </c>
      <c r="G9" s="2">
        <v>1</v>
      </c>
      <c r="H9" t="s">
        <v>14</v>
      </c>
      <c r="I9" t="s">
        <v>315</v>
      </c>
      <c r="J9" t="s">
        <v>13</v>
      </c>
      <c r="K9">
        <v>180</v>
      </c>
      <c r="L9" s="6">
        <v>42000</v>
      </c>
      <c r="M9" s="6">
        <v>18000</v>
      </c>
      <c r="N9" s="6"/>
      <c r="P9" s="4">
        <f t="shared" ref="P9:P72" si="0">1-O9/L9</f>
        <v>1</v>
      </c>
      <c r="Q9" s="12">
        <f>M9</f>
        <v>18000</v>
      </c>
      <c r="R9" s="13">
        <f t="shared" ref="R9:R72" si="1">1-Q9/L9</f>
        <v>0.5714285714285714</v>
      </c>
      <c r="S9" s="2" t="s">
        <v>422</v>
      </c>
    </row>
    <row r="10" spans="2:19">
      <c r="B10" s="2">
        <v>1</v>
      </c>
      <c r="C10" s="2">
        <v>26</v>
      </c>
      <c r="D10" s="2">
        <v>1</v>
      </c>
      <c r="E10" s="2" t="s">
        <v>395</v>
      </c>
      <c r="F10" s="2" t="s">
        <v>396</v>
      </c>
      <c r="G10" s="2">
        <v>1</v>
      </c>
      <c r="H10" t="s">
        <v>14</v>
      </c>
      <c r="I10" t="s">
        <v>316</v>
      </c>
      <c r="J10" t="s">
        <v>13</v>
      </c>
      <c r="K10">
        <v>43</v>
      </c>
      <c r="L10" s="6">
        <v>42000</v>
      </c>
      <c r="M10" s="6">
        <v>18000</v>
      </c>
      <c r="N10" s="6"/>
      <c r="P10" s="4">
        <f t="shared" si="0"/>
        <v>1</v>
      </c>
      <c r="Q10" s="12">
        <f t="shared" ref="Q10:Q63" si="2">M10</f>
        <v>18000</v>
      </c>
      <c r="R10" s="13">
        <f t="shared" si="1"/>
        <v>0.5714285714285714</v>
      </c>
      <c r="S10" s="2" t="s">
        <v>422</v>
      </c>
    </row>
    <row r="11" spans="2:19">
      <c r="B11" s="2">
        <v>1</v>
      </c>
      <c r="C11" s="2">
        <v>26</v>
      </c>
      <c r="D11" s="2">
        <v>1</v>
      </c>
      <c r="E11" s="2" t="s">
        <v>395</v>
      </c>
      <c r="F11" s="2" t="s">
        <v>396</v>
      </c>
      <c r="G11" s="2">
        <v>1</v>
      </c>
      <c r="H11" t="s">
        <v>14</v>
      </c>
      <c r="I11" t="s">
        <v>317</v>
      </c>
      <c r="J11" t="s">
        <v>13</v>
      </c>
      <c r="K11">
        <v>93</v>
      </c>
      <c r="L11" s="6">
        <v>42000</v>
      </c>
      <c r="M11" s="6">
        <v>18000</v>
      </c>
      <c r="N11" s="6"/>
      <c r="P11" s="4">
        <f t="shared" si="0"/>
        <v>1</v>
      </c>
      <c r="Q11" s="12">
        <f t="shared" si="2"/>
        <v>18000</v>
      </c>
      <c r="R11" s="13">
        <f t="shared" si="1"/>
        <v>0.5714285714285714</v>
      </c>
      <c r="S11" s="2" t="s">
        <v>422</v>
      </c>
    </row>
    <row r="12" spans="2:19">
      <c r="B12" s="2">
        <v>2</v>
      </c>
      <c r="C12" s="2">
        <v>25</v>
      </c>
      <c r="D12" s="2">
        <v>3</v>
      </c>
      <c r="E12" s="2" t="s">
        <v>395</v>
      </c>
      <c r="F12" s="2" t="s">
        <v>396</v>
      </c>
      <c r="G12" s="2">
        <v>1</v>
      </c>
      <c r="H12" t="s">
        <v>21</v>
      </c>
      <c r="I12" t="s">
        <v>261</v>
      </c>
      <c r="J12" t="s">
        <v>22</v>
      </c>
      <c r="K12">
        <v>74</v>
      </c>
      <c r="L12" s="6">
        <v>42000</v>
      </c>
      <c r="M12" s="6">
        <v>18000</v>
      </c>
      <c r="N12" s="4"/>
      <c r="P12" s="4">
        <f t="shared" si="0"/>
        <v>1</v>
      </c>
      <c r="Q12" s="12">
        <f t="shared" si="2"/>
        <v>18000</v>
      </c>
      <c r="R12" s="13">
        <f t="shared" si="1"/>
        <v>0.5714285714285714</v>
      </c>
      <c r="S12" s="2" t="s">
        <v>422</v>
      </c>
    </row>
    <row r="13" spans="2:19">
      <c r="B13" s="2">
        <v>2</v>
      </c>
      <c r="C13" s="24">
        <v>25</v>
      </c>
      <c r="D13" s="24">
        <v>3</v>
      </c>
      <c r="E13" s="24" t="s">
        <v>395</v>
      </c>
      <c r="F13" s="24" t="s">
        <v>396</v>
      </c>
      <c r="G13" s="24">
        <v>1</v>
      </c>
      <c r="H13" s="17" t="s">
        <v>21</v>
      </c>
      <c r="I13" s="17" t="s">
        <v>262</v>
      </c>
      <c r="J13" s="17" t="s">
        <v>22</v>
      </c>
      <c r="K13">
        <v>43</v>
      </c>
      <c r="L13" s="25">
        <v>42000</v>
      </c>
      <c r="M13" s="6">
        <v>18000</v>
      </c>
      <c r="N13" s="26"/>
      <c r="P13" s="26">
        <f t="shared" si="0"/>
        <v>1</v>
      </c>
      <c r="Q13" s="12">
        <f t="shared" si="2"/>
        <v>18000</v>
      </c>
      <c r="R13" s="13">
        <f t="shared" si="1"/>
        <v>0.5714285714285714</v>
      </c>
      <c r="S13" s="2" t="s">
        <v>422</v>
      </c>
    </row>
    <row r="14" spans="2:19">
      <c r="B14" s="2">
        <v>3</v>
      </c>
      <c r="C14" s="2">
        <v>25</v>
      </c>
      <c r="D14" s="2">
        <v>1</v>
      </c>
      <c r="E14" s="2" t="s">
        <v>395</v>
      </c>
      <c r="F14" s="2" t="s">
        <v>396</v>
      </c>
      <c r="G14" s="2">
        <v>1</v>
      </c>
      <c r="H14" t="s">
        <v>115</v>
      </c>
      <c r="I14" t="s">
        <v>236</v>
      </c>
      <c r="J14" t="s">
        <v>116</v>
      </c>
      <c r="K14">
        <v>46</v>
      </c>
      <c r="L14" s="6">
        <v>42000</v>
      </c>
      <c r="M14" s="6">
        <v>18000</v>
      </c>
      <c r="N14" s="6"/>
      <c r="P14" s="4">
        <f t="shared" si="0"/>
        <v>1</v>
      </c>
      <c r="Q14" s="12">
        <f t="shared" si="2"/>
        <v>18000</v>
      </c>
      <c r="R14" s="13">
        <f t="shared" si="1"/>
        <v>0.5714285714285714</v>
      </c>
      <c r="S14" s="2" t="s">
        <v>422</v>
      </c>
    </row>
    <row r="15" spans="2:19">
      <c r="B15" s="2">
        <v>3</v>
      </c>
      <c r="C15" s="2">
        <v>25</v>
      </c>
      <c r="D15" s="2">
        <v>1</v>
      </c>
      <c r="E15" s="2" t="s">
        <v>395</v>
      </c>
      <c r="F15" s="2" t="s">
        <v>396</v>
      </c>
      <c r="G15" s="2">
        <v>1</v>
      </c>
      <c r="H15" t="s">
        <v>115</v>
      </c>
      <c r="I15" t="s">
        <v>237</v>
      </c>
      <c r="J15" t="s">
        <v>116</v>
      </c>
      <c r="K15">
        <v>29</v>
      </c>
      <c r="L15" s="6">
        <v>42000</v>
      </c>
      <c r="M15" s="6">
        <v>18000</v>
      </c>
      <c r="N15" s="6"/>
      <c r="P15" s="4">
        <f t="shared" si="0"/>
        <v>1</v>
      </c>
      <c r="Q15" s="12">
        <f t="shared" si="2"/>
        <v>18000</v>
      </c>
      <c r="R15" s="13">
        <f t="shared" si="1"/>
        <v>0.5714285714285714</v>
      </c>
      <c r="S15" s="2" t="s">
        <v>422</v>
      </c>
    </row>
    <row r="16" spans="2:19">
      <c r="B16" s="2">
        <v>4</v>
      </c>
      <c r="C16" s="14">
        <v>23</v>
      </c>
      <c r="D16" s="14">
        <v>3</v>
      </c>
      <c r="E16" s="14" t="s">
        <v>385</v>
      </c>
      <c r="F16" s="14" t="s">
        <v>386</v>
      </c>
      <c r="G16" s="14">
        <v>13</v>
      </c>
      <c r="H16" s="18" t="s">
        <v>11</v>
      </c>
      <c r="I16" s="18" t="s">
        <v>193</v>
      </c>
      <c r="J16" s="18" t="s">
        <v>463</v>
      </c>
      <c r="K16">
        <v>417</v>
      </c>
      <c r="L16" s="19">
        <v>49000</v>
      </c>
      <c r="M16" s="19">
        <v>18000</v>
      </c>
      <c r="N16" s="20"/>
      <c r="O16" s="19"/>
      <c r="P16" s="20">
        <f t="shared" si="0"/>
        <v>1</v>
      </c>
      <c r="Q16" s="15">
        <f t="shared" si="2"/>
        <v>18000</v>
      </c>
      <c r="R16" s="16">
        <f t="shared" si="1"/>
        <v>0.63265306122448983</v>
      </c>
      <c r="S16" s="14" t="s">
        <v>422</v>
      </c>
    </row>
    <row r="17" spans="2:19">
      <c r="B17" s="2">
        <v>5</v>
      </c>
      <c r="C17" s="14">
        <v>23</v>
      </c>
      <c r="D17" s="14">
        <v>3</v>
      </c>
      <c r="E17" s="14" t="s">
        <v>385</v>
      </c>
      <c r="F17" s="14" t="s">
        <v>386</v>
      </c>
      <c r="G17" s="14">
        <v>13</v>
      </c>
      <c r="H17" s="18" t="s">
        <v>12</v>
      </c>
      <c r="I17" s="18" t="s">
        <v>194</v>
      </c>
      <c r="J17" s="18" t="s">
        <v>464</v>
      </c>
      <c r="K17">
        <v>283</v>
      </c>
      <c r="L17" s="19">
        <v>79000</v>
      </c>
      <c r="M17" s="19">
        <v>18000</v>
      </c>
      <c r="N17" s="20"/>
      <c r="O17" s="19"/>
      <c r="P17" s="20">
        <f t="shared" si="0"/>
        <v>1</v>
      </c>
      <c r="Q17" s="15">
        <f t="shared" si="2"/>
        <v>18000</v>
      </c>
      <c r="R17" s="16">
        <f t="shared" si="1"/>
        <v>0.77215189873417722</v>
      </c>
      <c r="S17" s="14" t="s">
        <v>422</v>
      </c>
    </row>
    <row r="18" spans="2:19">
      <c r="B18" s="2">
        <v>6</v>
      </c>
      <c r="C18" s="2">
        <v>26</v>
      </c>
      <c r="D18" s="2">
        <v>1</v>
      </c>
      <c r="E18" s="2" t="s">
        <v>395</v>
      </c>
      <c r="F18" s="2" t="s">
        <v>396</v>
      </c>
      <c r="G18" s="2">
        <v>1</v>
      </c>
      <c r="H18" t="s">
        <v>27</v>
      </c>
      <c r="I18" t="s">
        <v>318</v>
      </c>
      <c r="J18" t="s">
        <v>26</v>
      </c>
      <c r="K18">
        <v>18</v>
      </c>
      <c r="L18" s="6">
        <v>45000</v>
      </c>
      <c r="M18" s="6">
        <v>24000</v>
      </c>
      <c r="N18" s="6">
        <f t="shared" ref="N18:N58" si="3">M18-2000</f>
        <v>22000</v>
      </c>
      <c r="O18" s="6">
        <f t="shared" ref="O18:O58" si="4">N18*0.93</f>
        <v>20460</v>
      </c>
      <c r="P18" s="4">
        <f t="shared" si="0"/>
        <v>0.54533333333333334</v>
      </c>
      <c r="Q18" s="12">
        <f>O18</f>
        <v>20460</v>
      </c>
      <c r="R18" s="13">
        <f t="shared" si="1"/>
        <v>0.54533333333333334</v>
      </c>
    </row>
    <row r="19" spans="2:19">
      <c r="B19" s="2">
        <v>6</v>
      </c>
      <c r="C19" s="2">
        <v>26</v>
      </c>
      <c r="D19" s="2">
        <v>1</v>
      </c>
      <c r="E19" s="2" t="s">
        <v>395</v>
      </c>
      <c r="F19" s="2" t="s">
        <v>396</v>
      </c>
      <c r="G19" s="2">
        <v>1</v>
      </c>
      <c r="H19" t="s">
        <v>27</v>
      </c>
      <c r="I19" t="s">
        <v>319</v>
      </c>
      <c r="J19" t="s">
        <v>26</v>
      </c>
      <c r="K19">
        <v>24</v>
      </c>
      <c r="L19" s="6">
        <v>45000</v>
      </c>
      <c r="M19" s="6">
        <v>24000</v>
      </c>
      <c r="N19" s="6">
        <f t="shared" si="3"/>
        <v>22000</v>
      </c>
      <c r="O19" s="6">
        <f t="shared" si="4"/>
        <v>20460</v>
      </c>
      <c r="P19" s="4">
        <f t="shared" si="0"/>
        <v>0.54533333333333334</v>
      </c>
      <c r="Q19" s="12">
        <f t="shared" ref="Q19:Q58" si="5">O19</f>
        <v>20460</v>
      </c>
      <c r="R19" s="13">
        <f t="shared" si="1"/>
        <v>0.54533333333333334</v>
      </c>
    </row>
    <row r="20" spans="2:19">
      <c r="B20" s="2">
        <v>6</v>
      </c>
      <c r="C20" s="2">
        <v>26</v>
      </c>
      <c r="D20" s="2">
        <v>1</v>
      </c>
      <c r="E20" s="2" t="s">
        <v>395</v>
      </c>
      <c r="F20" s="2" t="s">
        <v>396</v>
      </c>
      <c r="G20" s="2">
        <v>1</v>
      </c>
      <c r="H20" t="s">
        <v>27</v>
      </c>
      <c r="I20" t="s">
        <v>320</v>
      </c>
      <c r="J20" t="s">
        <v>26</v>
      </c>
      <c r="K20">
        <v>30</v>
      </c>
      <c r="L20" s="6">
        <v>45000</v>
      </c>
      <c r="M20" s="6">
        <v>24000</v>
      </c>
      <c r="N20" s="6">
        <f t="shared" si="3"/>
        <v>22000</v>
      </c>
      <c r="O20" s="6">
        <f t="shared" si="4"/>
        <v>20460</v>
      </c>
      <c r="P20" s="4">
        <f t="shared" si="0"/>
        <v>0.54533333333333334</v>
      </c>
      <c r="Q20" s="12">
        <f t="shared" si="5"/>
        <v>20460</v>
      </c>
      <c r="R20" s="13">
        <f t="shared" si="1"/>
        <v>0.54533333333333334</v>
      </c>
    </row>
    <row r="21" spans="2:19">
      <c r="B21" s="2">
        <v>7</v>
      </c>
      <c r="C21" s="2">
        <v>26</v>
      </c>
      <c r="D21" s="2">
        <v>1</v>
      </c>
      <c r="E21" s="2" t="s">
        <v>395</v>
      </c>
      <c r="F21" s="2" t="s">
        <v>396</v>
      </c>
      <c r="G21" s="2">
        <v>1</v>
      </c>
      <c r="H21" t="s">
        <v>66</v>
      </c>
      <c r="I21" t="s">
        <v>321</v>
      </c>
      <c r="J21" t="s">
        <v>67</v>
      </c>
      <c r="K21">
        <v>50</v>
      </c>
      <c r="L21" s="6">
        <v>42000</v>
      </c>
      <c r="M21" s="6">
        <v>23000</v>
      </c>
      <c r="N21" s="6">
        <f t="shared" si="3"/>
        <v>21000</v>
      </c>
      <c r="O21" s="6">
        <f t="shared" si="4"/>
        <v>19530</v>
      </c>
      <c r="P21" s="4">
        <f t="shared" si="0"/>
        <v>0.53499999999999992</v>
      </c>
      <c r="Q21" s="12">
        <f t="shared" si="5"/>
        <v>19530</v>
      </c>
      <c r="R21" s="13">
        <f t="shared" si="1"/>
        <v>0.53499999999999992</v>
      </c>
    </row>
    <row r="22" spans="2:19">
      <c r="B22" s="2">
        <v>7</v>
      </c>
      <c r="C22" s="2">
        <v>26</v>
      </c>
      <c r="D22" s="2">
        <v>1</v>
      </c>
      <c r="E22" s="2" t="s">
        <v>395</v>
      </c>
      <c r="F22" s="2" t="s">
        <v>396</v>
      </c>
      <c r="G22" s="2">
        <v>1</v>
      </c>
      <c r="H22" t="s">
        <v>66</v>
      </c>
      <c r="I22" t="s">
        <v>322</v>
      </c>
      <c r="J22" t="s">
        <v>67</v>
      </c>
      <c r="K22">
        <v>64</v>
      </c>
      <c r="L22" s="6">
        <v>42000</v>
      </c>
      <c r="M22" s="6">
        <v>23000</v>
      </c>
      <c r="N22" s="6">
        <f t="shared" si="3"/>
        <v>21000</v>
      </c>
      <c r="O22" s="6">
        <f t="shared" si="4"/>
        <v>19530</v>
      </c>
      <c r="P22" s="4">
        <f t="shared" si="0"/>
        <v>0.53499999999999992</v>
      </c>
      <c r="Q22" s="12">
        <f t="shared" si="5"/>
        <v>19530</v>
      </c>
      <c r="R22" s="13">
        <f t="shared" si="1"/>
        <v>0.53499999999999992</v>
      </c>
    </row>
    <row r="23" spans="2:19">
      <c r="B23" s="2">
        <v>8</v>
      </c>
      <c r="C23" s="2">
        <v>26</v>
      </c>
      <c r="D23" s="2">
        <v>3</v>
      </c>
      <c r="E23" s="2" t="s">
        <v>395</v>
      </c>
      <c r="F23" s="2" t="s">
        <v>396</v>
      </c>
      <c r="G23" s="2">
        <v>1</v>
      </c>
      <c r="H23" t="s">
        <v>15</v>
      </c>
      <c r="I23" t="s">
        <v>350</v>
      </c>
      <c r="J23" t="s">
        <v>16</v>
      </c>
      <c r="K23">
        <v>520</v>
      </c>
      <c r="L23" s="6">
        <v>45000</v>
      </c>
      <c r="M23" s="6">
        <f>L23*0.8</f>
        <v>36000</v>
      </c>
      <c r="N23" s="6">
        <f t="shared" si="3"/>
        <v>34000</v>
      </c>
      <c r="O23" s="6">
        <f t="shared" si="4"/>
        <v>31620</v>
      </c>
      <c r="P23" s="4">
        <f t="shared" si="0"/>
        <v>0.29733333333333334</v>
      </c>
      <c r="Q23" s="12">
        <f t="shared" si="5"/>
        <v>31620</v>
      </c>
      <c r="R23" s="13">
        <f t="shared" si="1"/>
        <v>0.29733333333333334</v>
      </c>
    </row>
    <row r="24" spans="2:19">
      <c r="B24" s="2">
        <v>8</v>
      </c>
      <c r="C24" s="2">
        <v>26</v>
      </c>
      <c r="D24" s="2">
        <v>3</v>
      </c>
      <c r="E24" s="2" t="s">
        <v>395</v>
      </c>
      <c r="F24" s="2" t="s">
        <v>396</v>
      </c>
      <c r="G24" s="2">
        <v>1</v>
      </c>
      <c r="H24" t="s">
        <v>15</v>
      </c>
      <c r="I24" t="s">
        <v>351</v>
      </c>
      <c r="J24" t="s">
        <v>16</v>
      </c>
      <c r="K24">
        <v>220</v>
      </c>
      <c r="L24" s="6">
        <v>45000</v>
      </c>
      <c r="M24" s="6">
        <f>L24*0.8</f>
        <v>36000</v>
      </c>
      <c r="N24" s="6">
        <f t="shared" si="3"/>
        <v>34000</v>
      </c>
      <c r="O24" s="6">
        <f t="shared" si="4"/>
        <v>31620</v>
      </c>
      <c r="P24" s="4">
        <f t="shared" si="0"/>
        <v>0.29733333333333334</v>
      </c>
      <c r="Q24" s="12">
        <f t="shared" si="5"/>
        <v>31620</v>
      </c>
      <c r="R24" s="13">
        <f t="shared" si="1"/>
        <v>0.29733333333333334</v>
      </c>
    </row>
    <row r="25" spans="2:19">
      <c r="B25" s="2">
        <v>9</v>
      </c>
      <c r="C25" s="2">
        <v>26</v>
      </c>
      <c r="D25" s="2">
        <v>3</v>
      </c>
      <c r="E25" s="2" t="s">
        <v>395</v>
      </c>
      <c r="F25" s="2" t="s">
        <v>396</v>
      </c>
      <c r="G25" s="2">
        <v>1</v>
      </c>
      <c r="H25" t="s">
        <v>42</v>
      </c>
      <c r="I25" t="s">
        <v>352</v>
      </c>
      <c r="J25" t="s">
        <v>43</v>
      </c>
      <c r="K25">
        <v>465</v>
      </c>
      <c r="L25" s="6">
        <v>42000</v>
      </c>
      <c r="M25" s="6">
        <v>33000</v>
      </c>
      <c r="N25" s="6">
        <f t="shared" si="3"/>
        <v>31000</v>
      </c>
      <c r="O25" s="6">
        <f t="shared" si="4"/>
        <v>28830</v>
      </c>
      <c r="P25" s="4">
        <f t="shared" si="0"/>
        <v>0.31357142857142861</v>
      </c>
      <c r="Q25" s="12">
        <f t="shared" si="5"/>
        <v>28830</v>
      </c>
      <c r="R25" s="13">
        <f t="shared" si="1"/>
        <v>0.31357142857142861</v>
      </c>
    </row>
    <row r="26" spans="2:19">
      <c r="B26" s="2">
        <v>9</v>
      </c>
      <c r="C26" s="2">
        <v>26</v>
      </c>
      <c r="D26" s="2">
        <v>3</v>
      </c>
      <c r="E26" s="2" t="s">
        <v>395</v>
      </c>
      <c r="F26" s="2" t="s">
        <v>396</v>
      </c>
      <c r="G26" s="2">
        <v>1</v>
      </c>
      <c r="H26" t="s">
        <v>42</v>
      </c>
      <c r="I26" t="s">
        <v>353</v>
      </c>
      <c r="J26" t="s">
        <v>43</v>
      </c>
      <c r="K26">
        <v>372</v>
      </c>
      <c r="L26" s="6">
        <v>42000</v>
      </c>
      <c r="M26" s="6">
        <v>33000</v>
      </c>
      <c r="N26" s="6">
        <f t="shared" si="3"/>
        <v>31000</v>
      </c>
      <c r="O26" s="6">
        <f t="shared" si="4"/>
        <v>28830</v>
      </c>
      <c r="P26" s="4">
        <f t="shared" si="0"/>
        <v>0.31357142857142861</v>
      </c>
      <c r="Q26" s="12">
        <f t="shared" si="5"/>
        <v>28830</v>
      </c>
      <c r="R26" s="13">
        <f t="shared" si="1"/>
        <v>0.31357142857142861</v>
      </c>
    </row>
    <row r="27" spans="2:19">
      <c r="B27" s="2">
        <v>10</v>
      </c>
      <c r="C27" s="2">
        <v>26</v>
      </c>
      <c r="D27" s="2">
        <v>3</v>
      </c>
      <c r="E27" s="2" t="s">
        <v>395</v>
      </c>
      <c r="F27" s="2" t="s">
        <v>396</v>
      </c>
      <c r="G27" s="2">
        <v>1</v>
      </c>
      <c r="H27" t="s">
        <v>59</v>
      </c>
      <c r="I27" t="s">
        <v>354</v>
      </c>
      <c r="J27" t="s">
        <v>58</v>
      </c>
      <c r="K27">
        <v>464</v>
      </c>
      <c r="L27" s="6">
        <v>39000</v>
      </c>
      <c r="M27" s="6">
        <v>31000</v>
      </c>
      <c r="N27" s="6">
        <f t="shared" si="3"/>
        <v>29000</v>
      </c>
      <c r="O27" s="6">
        <f t="shared" si="4"/>
        <v>26970</v>
      </c>
      <c r="P27" s="4">
        <f t="shared" si="0"/>
        <v>0.30846153846153845</v>
      </c>
      <c r="Q27" s="12">
        <f t="shared" si="5"/>
        <v>26970</v>
      </c>
      <c r="R27" s="13">
        <f t="shared" si="1"/>
        <v>0.30846153846153845</v>
      </c>
    </row>
    <row r="28" spans="2:19">
      <c r="B28" s="2">
        <v>10</v>
      </c>
      <c r="C28" s="2">
        <v>26</v>
      </c>
      <c r="D28" s="2">
        <v>3</v>
      </c>
      <c r="E28" s="2" t="s">
        <v>395</v>
      </c>
      <c r="F28" s="2" t="s">
        <v>396</v>
      </c>
      <c r="G28" s="2">
        <v>1</v>
      </c>
      <c r="H28" t="s">
        <v>59</v>
      </c>
      <c r="I28" t="s">
        <v>355</v>
      </c>
      <c r="J28" t="s">
        <v>58</v>
      </c>
      <c r="K28">
        <v>215</v>
      </c>
      <c r="L28" s="6">
        <v>39000</v>
      </c>
      <c r="M28" s="6">
        <v>31000</v>
      </c>
      <c r="N28" s="6">
        <f t="shared" si="3"/>
        <v>29000</v>
      </c>
      <c r="O28" s="6">
        <f t="shared" si="4"/>
        <v>26970</v>
      </c>
      <c r="P28" s="4">
        <f t="shared" si="0"/>
        <v>0.30846153846153845</v>
      </c>
      <c r="Q28" s="12">
        <f t="shared" si="5"/>
        <v>26970</v>
      </c>
      <c r="R28" s="13">
        <f t="shared" si="1"/>
        <v>0.30846153846153845</v>
      </c>
    </row>
    <row r="29" spans="2:19">
      <c r="B29" s="2">
        <v>10</v>
      </c>
      <c r="C29" s="2">
        <v>26</v>
      </c>
      <c r="D29" s="2">
        <v>3</v>
      </c>
      <c r="E29" s="2" t="s">
        <v>395</v>
      </c>
      <c r="F29" s="2" t="s">
        <v>396</v>
      </c>
      <c r="G29" s="2">
        <v>1</v>
      </c>
      <c r="H29" t="s">
        <v>59</v>
      </c>
      <c r="I29" t="s">
        <v>356</v>
      </c>
      <c r="J29" t="s">
        <v>58</v>
      </c>
      <c r="K29">
        <v>467</v>
      </c>
      <c r="L29" s="6">
        <v>39000</v>
      </c>
      <c r="M29" s="6">
        <v>31000</v>
      </c>
      <c r="N29" s="6">
        <f t="shared" si="3"/>
        <v>29000</v>
      </c>
      <c r="O29" s="6">
        <f t="shared" si="4"/>
        <v>26970</v>
      </c>
      <c r="P29" s="4">
        <f t="shared" si="0"/>
        <v>0.30846153846153845</v>
      </c>
      <c r="Q29" s="12">
        <f t="shared" si="5"/>
        <v>26970</v>
      </c>
      <c r="R29" s="13">
        <f t="shared" si="1"/>
        <v>0.30846153846153845</v>
      </c>
    </row>
    <row r="30" spans="2:19">
      <c r="B30" s="2">
        <v>10</v>
      </c>
      <c r="C30" s="2">
        <v>26</v>
      </c>
      <c r="D30" s="2">
        <v>3</v>
      </c>
      <c r="E30" s="2" t="s">
        <v>395</v>
      </c>
      <c r="F30" s="2" t="s">
        <v>396</v>
      </c>
      <c r="G30" s="2">
        <v>1</v>
      </c>
      <c r="H30" t="s">
        <v>59</v>
      </c>
      <c r="I30" t="s">
        <v>357</v>
      </c>
      <c r="J30" t="s">
        <v>58</v>
      </c>
      <c r="K30">
        <v>353</v>
      </c>
      <c r="L30" s="6">
        <v>39000</v>
      </c>
      <c r="M30" s="6">
        <v>31000</v>
      </c>
      <c r="N30" s="6">
        <f t="shared" si="3"/>
        <v>29000</v>
      </c>
      <c r="O30" s="6">
        <f t="shared" si="4"/>
        <v>26970</v>
      </c>
      <c r="P30" s="4">
        <f t="shared" si="0"/>
        <v>0.30846153846153845</v>
      </c>
      <c r="Q30" s="12">
        <f t="shared" si="5"/>
        <v>26970</v>
      </c>
      <c r="R30" s="13">
        <f t="shared" si="1"/>
        <v>0.30846153846153845</v>
      </c>
    </row>
    <row r="31" spans="2:19">
      <c r="B31" s="2">
        <v>11</v>
      </c>
      <c r="C31" s="2">
        <v>26</v>
      </c>
      <c r="D31" s="2">
        <v>3</v>
      </c>
      <c r="E31" s="2" t="s">
        <v>395</v>
      </c>
      <c r="F31" s="2" t="s">
        <v>396</v>
      </c>
      <c r="G31" s="2">
        <v>1</v>
      </c>
      <c r="H31" t="s">
        <v>150</v>
      </c>
      <c r="I31" t="s">
        <v>358</v>
      </c>
      <c r="J31" t="s">
        <v>151</v>
      </c>
      <c r="K31">
        <v>369</v>
      </c>
      <c r="L31" s="6">
        <v>39000</v>
      </c>
      <c r="M31" s="6">
        <v>31000</v>
      </c>
      <c r="N31" s="6">
        <f t="shared" si="3"/>
        <v>29000</v>
      </c>
      <c r="O31" s="6">
        <f t="shared" si="4"/>
        <v>26970</v>
      </c>
      <c r="P31" s="4">
        <f t="shared" si="0"/>
        <v>0.30846153846153845</v>
      </c>
      <c r="Q31" s="12">
        <f t="shared" si="5"/>
        <v>26970</v>
      </c>
      <c r="R31" s="13">
        <f t="shared" si="1"/>
        <v>0.30846153846153845</v>
      </c>
    </row>
    <row r="32" spans="2:19">
      <c r="B32" s="2">
        <v>11</v>
      </c>
      <c r="C32" s="2">
        <v>26</v>
      </c>
      <c r="D32" s="2">
        <v>3</v>
      </c>
      <c r="E32" s="2" t="s">
        <v>395</v>
      </c>
      <c r="F32" s="2" t="s">
        <v>396</v>
      </c>
      <c r="G32" s="2">
        <v>1</v>
      </c>
      <c r="H32" t="s">
        <v>150</v>
      </c>
      <c r="I32" t="s">
        <v>359</v>
      </c>
      <c r="J32" t="s">
        <v>151</v>
      </c>
      <c r="K32">
        <v>268</v>
      </c>
      <c r="L32" s="6">
        <v>39000</v>
      </c>
      <c r="M32" s="6">
        <v>31000</v>
      </c>
      <c r="N32" s="6">
        <f t="shared" si="3"/>
        <v>29000</v>
      </c>
      <c r="O32" s="6">
        <f t="shared" si="4"/>
        <v>26970</v>
      </c>
      <c r="P32" s="4">
        <f t="shared" si="0"/>
        <v>0.30846153846153845</v>
      </c>
      <c r="Q32" s="12">
        <f t="shared" si="5"/>
        <v>26970</v>
      </c>
      <c r="R32" s="13">
        <f t="shared" si="1"/>
        <v>0.30846153846153845</v>
      </c>
    </row>
    <row r="33" spans="2:19">
      <c r="B33" s="2">
        <v>11</v>
      </c>
      <c r="C33" s="2">
        <v>26</v>
      </c>
      <c r="D33" s="2">
        <v>3</v>
      </c>
      <c r="E33" s="2" t="s">
        <v>395</v>
      </c>
      <c r="F33" s="2" t="s">
        <v>396</v>
      </c>
      <c r="G33" s="2">
        <v>1</v>
      </c>
      <c r="H33" t="s">
        <v>150</v>
      </c>
      <c r="I33" t="s">
        <v>360</v>
      </c>
      <c r="J33" t="s">
        <v>151</v>
      </c>
      <c r="K33">
        <v>480</v>
      </c>
      <c r="L33" s="6">
        <v>39000</v>
      </c>
      <c r="M33" s="6">
        <v>31000</v>
      </c>
      <c r="N33" s="6">
        <f t="shared" si="3"/>
        <v>29000</v>
      </c>
      <c r="O33" s="6">
        <f t="shared" si="4"/>
        <v>26970</v>
      </c>
      <c r="P33" s="4">
        <f t="shared" si="0"/>
        <v>0.30846153846153845</v>
      </c>
      <c r="Q33" s="12">
        <f t="shared" si="5"/>
        <v>26970</v>
      </c>
      <c r="R33" s="13">
        <f t="shared" si="1"/>
        <v>0.30846153846153845</v>
      </c>
    </row>
    <row r="34" spans="2:19">
      <c r="B34" s="2">
        <v>12</v>
      </c>
      <c r="C34" s="2">
        <v>26</v>
      </c>
      <c r="D34" s="2">
        <v>3</v>
      </c>
      <c r="E34" s="2" t="s">
        <v>395</v>
      </c>
      <c r="F34" s="2" t="s">
        <v>396</v>
      </c>
      <c r="G34" s="2">
        <v>1</v>
      </c>
      <c r="H34" t="s">
        <v>81</v>
      </c>
      <c r="I34" t="s">
        <v>361</v>
      </c>
      <c r="J34" t="s">
        <v>82</v>
      </c>
      <c r="K34">
        <v>462</v>
      </c>
      <c r="L34" s="6">
        <v>39000</v>
      </c>
      <c r="M34" s="6">
        <v>31000</v>
      </c>
      <c r="N34" s="6">
        <f t="shared" si="3"/>
        <v>29000</v>
      </c>
      <c r="O34" s="6">
        <f t="shared" si="4"/>
        <v>26970</v>
      </c>
      <c r="P34" s="4">
        <f t="shared" si="0"/>
        <v>0.30846153846153845</v>
      </c>
      <c r="Q34" s="12">
        <f t="shared" si="5"/>
        <v>26970</v>
      </c>
      <c r="R34" s="13">
        <f t="shared" si="1"/>
        <v>0.30846153846153845</v>
      </c>
    </row>
    <row r="35" spans="2:19">
      <c r="B35" s="2">
        <v>12</v>
      </c>
      <c r="C35" s="2">
        <v>26</v>
      </c>
      <c r="D35" s="2">
        <v>3</v>
      </c>
      <c r="E35" s="2" t="s">
        <v>395</v>
      </c>
      <c r="F35" s="2" t="s">
        <v>396</v>
      </c>
      <c r="G35" s="2">
        <v>1</v>
      </c>
      <c r="H35" t="s">
        <v>81</v>
      </c>
      <c r="I35" t="s">
        <v>362</v>
      </c>
      <c r="J35" t="s">
        <v>82</v>
      </c>
      <c r="K35">
        <v>271</v>
      </c>
      <c r="L35" s="6">
        <v>39000</v>
      </c>
      <c r="M35" s="6">
        <v>31000</v>
      </c>
      <c r="N35" s="6">
        <f t="shared" si="3"/>
        <v>29000</v>
      </c>
      <c r="O35" s="6">
        <f t="shared" si="4"/>
        <v>26970</v>
      </c>
      <c r="P35" s="4">
        <f t="shared" si="0"/>
        <v>0.30846153846153845</v>
      </c>
      <c r="Q35" s="12">
        <f t="shared" si="5"/>
        <v>26970</v>
      </c>
      <c r="R35" s="13">
        <f t="shared" si="1"/>
        <v>0.30846153846153845</v>
      </c>
    </row>
    <row r="36" spans="2:19">
      <c r="B36" s="2">
        <v>12</v>
      </c>
      <c r="C36" s="2">
        <v>26</v>
      </c>
      <c r="D36" s="2">
        <v>3</v>
      </c>
      <c r="E36" s="2" t="s">
        <v>395</v>
      </c>
      <c r="F36" s="2" t="s">
        <v>396</v>
      </c>
      <c r="G36" s="2">
        <v>1</v>
      </c>
      <c r="H36" t="s">
        <v>81</v>
      </c>
      <c r="I36" t="s">
        <v>363</v>
      </c>
      <c r="J36" t="s">
        <v>82</v>
      </c>
      <c r="K36">
        <v>569</v>
      </c>
      <c r="L36" s="6">
        <v>39000</v>
      </c>
      <c r="M36" s="6">
        <v>31000</v>
      </c>
      <c r="N36" s="6">
        <f t="shared" si="3"/>
        <v>29000</v>
      </c>
      <c r="O36" s="6">
        <f t="shared" si="4"/>
        <v>26970</v>
      </c>
      <c r="P36" s="4">
        <f t="shared" si="0"/>
        <v>0.30846153846153845</v>
      </c>
      <c r="Q36" s="12">
        <f t="shared" si="5"/>
        <v>26970</v>
      </c>
      <c r="R36" s="13">
        <f t="shared" si="1"/>
        <v>0.30846153846153845</v>
      </c>
    </row>
    <row r="37" spans="2:19">
      <c r="B37" s="2">
        <v>13</v>
      </c>
      <c r="C37" s="2">
        <v>26</v>
      </c>
      <c r="D37" s="2">
        <v>3</v>
      </c>
      <c r="E37" s="2" t="s">
        <v>395</v>
      </c>
      <c r="F37" s="2" t="s">
        <v>396</v>
      </c>
      <c r="G37" s="2">
        <v>1</v>
      </c>
      <c r="H37" t="s">
        <v>23</v>
      </c>
      <c r="I37" t="s">
        <v>364</v>
      </c>
      <c r="J37" t="s">
        <v>22</v>
      </c>
      <c r="K37">
        <v>357</v>
      </c>
      <c r="L37" s="6">
        <v>42000</v>
      </c>
      <c r="M37" s="6">
        <v>33000</v>
      </c>
      <c r="N37" s="6">
        <f t="shared" si="3"/>
        <v>31000</v>
      </c>
      <c r="O37" s="6">
        <f t="shared" si="4"/>
        <v>28830</v>
      </c>
      <c r="P37" s="4">
        <f t="shared" si="0"/>
        <v>0.31357142857142861</v>
      </c>
      <c r="Q37" s="12">
        <f t="shared" si="5"/>
        <v>28830</v>
      </c>
      <c r="R37" s="13">
        <f t="shared" si="1"/>
        <v>0.31357142857142861</v>
      </c>
    </row>
    <row r="38" spans="2:19">
      <c r="B38" s="2">
        <v>13</v>
      </c>
      <c r="C38" s="2">
        <v>26</v>
      </c>
      <c r="D38" s="2">
        <v>3</v>
      </c>
      <c r="E38" s="2" t="s">
        <v>395</v>
      </c>
      <c r="F38" s="2" t="s">
        <v>396</v>
      </c>
      <c r="G38" s="2">
        <v>1</v>
      </c>
      <c r="H38" t="s">
        <v>23</v>
      </c>
      <c r="I38" t="s">
        <v>365</v>
      </c>
      <c r="J38" t="s">
        <v>22</v>
      </c>
      <c r="K38">
        <v>246</v>
      </c>
      <c r="L38" s="6">
        <v>42000</v>
      </c>
      <c r="M38" s="6">
        <v>33000</v>
      </c>
      <c r="N38" s="6">
        <f t="shared" si="3"/>
        <v>31000</v>
      </c>
      <c r="O38" s="6">
        <f t="shared" si="4"/>
        <v>28830</v>
      </c>
      <c r="P38" s="4">
        <f t="shared" si="0"/>
        <v>0.31357142857142861</v>
      </c>
      <c r="Q38" s="12">
        <f t="shared" si="5"/>
        <v>28830</v>
      </c>
      <c r="R38" s="13">
        <f t="shared" si="1"/>
        <v>0.31357142857142861</v>
      </c>
    </row>
    <row r="39" spans="2:19">
      <c r="B39" s="2">
        <v>13</v>
      </c>
      <c r="C39" s="2">
        <v>26</v>
      </c>
      <c r="D39" s="2">
        <v>3</v>
      </c>
      <c r="E39" s="2" t="s">
        <v>395</v>
      </c>
      <c r="F39" s="2" t="s">
        <v>396</v>
      </c>
      <c r="G39" s="2">
        <v>1</v>
      </c>
      <c r="H39" t="s">
        <v>23</v>
      </c>
      <c r="I39" t="s">
        <v>366</v>
      </c>
      <c r="J39" t="s">
        <v>22</v>
      </c>
      <c r="K39">
        <v>196</v>
      </c>
      <c r="L39" s="6">
        <v>42000</v>
      </c>
      <c r="M39" s="6">
        <v>33000</v>
      </c>
      <c r="N39" s="6">
        <f t="shared" si="3"/>
        <v>31000</v>
      </c>
      <c r="O39" s="6">
        <f t="shared" si="4"/>
        <v>28830</v>
      </c>
      <c r="P39" s="4">
        <f t="shared" si="0"/>
        <v>0.31357142857142861</v>
      </c>
      <c r="Q39" s="12">
        <f t="shared" si="5"/>
        <v>28830</v>
      </c>
      <c r="R39" s="13">
        <f t="shared" si="1"/>
        <v>0.31357142857142861</v>
      </c>
    </row>
    <row r="40" spans="2:19">
      <c r="B40" s="2">
        <v>14</v>
      </c>
      <c r="C40" s="2">
        <v>26</v>
      </c>
      <c r="D40" s="2">
        <v>3</v>
      </c>
      <c r="E40" s="2" t="s">
        <v>395</v>
      </c>
      <c r="F40" s="2" t="s">
        <v>396</v>
      </c>
      <c r="G40" s="2">
        <v>1</v>
      </c>
      <c r="H40" t="s">
        <v>52</v>
      </c>
      <c r="I40" t="s">
        <v>367</v>
      </c>
      <c r="J40" t="s">
        <v>53</v>
      </c>
      <c r="K40">
        <v>270</v>
      </c>
      <c r="L40" s="6">
        <v>39000</v>
      </c>
      <c r="M40" s="6">
        <v>31000</v>
      </c>
      <c r="N40" s="6">
        <f t="shared" si="3"/>
        <v>29000</v>
      </c>
      <c r="O40" s="6">
        <f t="shared" si="4"/>
        <v>26970</v>
      </c>
      <c r="P40" s="4">
        <f t="shared" si="0"/>
        <v>0.30846153846153845</v>
      </c>
      <c r="Q40" s="12">
        <f t="shared" si="5"/>
        <v>26970</v>
      </c>
      <c r="R40" s="13">
        <f t="shared" si="1"/>
        <v>0.30846153846153845</v>
      </c>
    </row>
    <row r="41" spans="2:19">
      <c r="B41" s="2">
        <v>14</v>
      </c>
      <c r="C41" s="2">
        <v>26</v>
      </c>
      <c r="D41" s="2">
        <v>3</v>
      </c>
      <c r="E41" s="2" t="s">
        <v>395</v>
      </c>
      <c r="F41" s="2" t="s">
        <v>396</v>
      </c>
      <c r="G41" s="2">
        <v>1</v>
      </c>
      <c r="H41" t="s">
        <v>52</v>
      </c>
      <c r="I41" t="s">
        <v>368</v>
      </c>
      <c r="J41" t="s">
        <v>53</v>
      </c>
      <c r="K41">
        <v>259</v>
      </c>
      <c r="L41" s="6">
        <v>39000</v>
      </c>
      <c r="M41" s="6">
        <v>31000</v>
      </c>
      <c r="N41" s="6">
        <f t="shared" si="3"/>
        <v>29000</v>
      </c>
      <c r="O41" s="6">
        <f t="shared" si="4"/>
        <v>26970</v>
      </c>
      <c r="P41" s="4">
        <f t="shared" si="0"/>
        <v>0.30846153846153845</v>
      </c>
      <c r="Q41" s="12">
        <f t="shared" si="5"/>
        <v>26970</v>
      </c>
      <c r="R41" s="13">
        <f t="shared" si="1"/>
        <v>0.30846153846153845</v>
      </c>
    </row>
    <row r="42" spans="2:19">
      <c r="B42" s="2">
        <v>14</v>
      </c>
      <c r="C42" s="2">
        <v>26</v>
      </c>
      <c r="D42" s="2">
        <v>3</v>
      </c>
      <c r="E42" s="2" t="s">
        <v>395</v>
      </c>
      <c r="F42" s="2" t="s">
        <v>396</v>
      </c>
      <c r="G42" s="2">
        <v>1</v>
      </c>
      <c r="H42" t="s">
        <v>52</v>
      </c>
      <c r="I42" t="s">
        <v>369</v>
      </c>
      <c r="J42" t="s">
        <v>53</v>
      </c>
      <c r="K42">
        <v>259</v>
      </c>
      <c r="L42" s="6">
        <v>39000</v>
      </c>
      <c r="M42" s="6">
        <v>31000</v>
      </c>
      <c r="N42" s="6">
        <f t="shared" si="3"/>
        <v>29000</v>
      </c>
      <c r="O42" s="6">
        <f t="shared" si="4"/>
        <v>26970</v>
      </c>
      <c r="P42" s="4">
        <f t="shared" si="0"/>
        <v>0.30846153846153845</v>
      </c>
      <c r="Q42" s="12">
        <f t="shared" si="5"/>
        <v>26970</v>
      </c>
      <c r="R42" s="13">
        <f t="shared" si="1"/>
        <v>0.30846153846153845</v>
      </c>
    </row>
    <row r="43" spans="2:19">
      <c r="B43" s="2">
        <v>15</v>
      </c>
      <c r="C43" s="2">
        <v>25</v>
      </c>
      <c r="D43" s="2">
        <v>1</v>
      </c>
      <c r="E43" s="2" t="s">
        <v>391</v>
      </c>
      <c r="F43" s="2" t="s">
        <v>392</v>
      </c>
      <c r="G43" s="2">
        <v>2</v>
      </c>
      <c r="H43" t="s">
        <v>147</v>
      </c>
      <c r="I43" t="s">
        <v>238</v>
      </c>
      <c r="J43" t="s">
        <v>148</v>
      </c>
      <c r="K43">
        <v>48</v>
      </c>
      <c r="L43" s="6">
        <v>55000</v>
      </c>
      <c r="M43" s="6">
        <v>30000</v>
      </c>
      <c r="N43" s="6">
        <f t="shared" si="3"/>
        <v>28000</v>
      </c>
      <c r="O43" s="6">
        <f t="shared" si="4"/>
        <v>26040</v>
      </c>
      <c r="P43" s="4">
        <f t="shared" si="0"/>
        <v>0.52654545454545454</v>
      </c>
      <c r="Q43" s="12">
        <f t="shared" si="5"/>
        <v>26040</v>
      </c>
      <c r="R43" s="13">
        <f t="shared" si="1"/>
        <v>0.52654545454545454</v>
      </c>
    </row>
    <row r="44" spans="2:19">
      <c r="B44" s="2">
        <v>15</v>
      </c>
      <c r="C44" s="2">
        <v>25</v>
      </c>
      <c r="D44" s="2">
        <v>1</v>
      </c>
      <c r="E44" s="2" t="s">
        <v>391</v>
      </c>
      <c r="F44" s="2" t="s">
        <v>392</v>
      </c>
      <c r="G44" s="2">
        <v>2</v>
      </c>
      <c r="H44" t="s">
        <v>147</v>
      </c>
      <c r="I44" t="s">
        <v>239</v>
      </c>
      <c r="J44" t="s">
        <v>148</v>
      </c>
      <c r="K44">
        <v>42</v>
      </c>
      <c r="L44" s="6">
        <v>55000</v>
      </c>
      <c r="M44" s="6">
        <v>30000</v>
      </c>
      <c r="N44" s="6">
        <f t="shared" si="3"/>
        <v>28000</v>
      </c>
      <c r="O44" s="6">
        <f t="shared" si="4"/>
        <v>26040</v>
      </c>
      <c r="P44" s="4">
        <f t="shared" si="0"/>
        <v>0.52654545454545454</v>
      </c>
      <c r="Q44" s="12">
        <f t="shared" si="5"/>
        <v>26040</v>
      </c>
      <c r="R44" s="13">
        <f t="shared" si="1"/>
        <v>0.52654545454545454</v>
      </c>
    </row>
    <row r="45" spans="2:19">
      <c r="B45" s="2">
        <v>16</v>
      </c>
      <c r="C45" s="2">
        <v>25</v>
      </c>
      <c r="D45" s="2">
        <v>1</v>
      </c>
      <c r="E45" s="2" t="s">
        <v>391</v>
      </c>
      <c r="F45" s="2" t="s">
        <v>392</v>
      </c>
      <c r="G45" s="2">
        <v>2</v>
      </c>
      <c r="H45" t="s">
        <v>70</v>
      </c>
      <c r="I45" t="s">
        <v>240</v>
      </c>
      <c r="J45" t="s">
        <v>71</v>
      </c>
      <c r="K45">
        <v>27</v>
      </c>
      <c r="L45" s="6">
        <v>59000</v>
      </c>
      <c r="M45" s="6">
        <v>27000</v>
      </c>
      <c r="N45" s="6">
        <f t="shared" si="3"/>
        <v>25000</v>
      </c>
      <c r="O45" s="6">
        <f t="shared" si="4"/>
        <v>23250</v>
      </c>
      <c r="P45" s="4">
        <f t="shared" si="0"/>
        <v>0.60593220338983045</v>
      </c>
      <c r="Q45" s="12">
        <f t="shared" si="5"/>
        <v>23250</v>
      </c>
      <c r="R45" s="13">
        <f t="shared" si="1"/>
        <v>0.60593220338983045</v>
      </c>
      <c r="S45" s="2" t="s">
        <v>422</v>
      </c>
    </row>
    <row r="46" spans="2:19">
      <c r="B46" s="2">
        <v>16</v>
      </c>
      <c r="C46" s="2">
        <v>25</v>
      </c>
      <c r="D46" s="2">
        <v>1</v>
      </c>
      <c r="E46" s="2" t="s">
        <v>391</v>
      </c>
      <c r="F46" s="2" t="s">
        <v>392</v>
      </c>
      <c r="G46" s="2">
        <v>2</v>
      </c>
      <c r="H46" t="s">
        <v>70</v>
      </c>
      <c r="I46" t="s">
        <v>241</v>
      </c>
      <c r="J46" t="s">
        <v>71</v>
      </c>
      <c r="K46">
        <v>60</v>
      </c>
      <c r="L46" s="6">
        <v>59000</v>
      </c>
      <c r="M46" s="6">
        <v>27000</v>
      </c>
      <c r="N46" s="6">
        <f t="shared" si="3"/>
        <v>25000</v>
      </c>
      <c r="O46" s="6">
        <f t="shared" si="4"/>
        <v>23250</v>
      </c>
      <c r="P46" s="4">
        <f t="shared" si="0"/>
        <v>0.60593220338983045</v>
      </c>
      <c r="Q46" s="12">
        <f t="shared" si="5"/>
        <v>23250</v>
      </c>
      <c r="R46" s="13">
        <f t="shared" si="1"/>
        <v>0.60593220338983045</v>
      </c>
      <c r="S46" s="2" t="s">
        <v>422</v>
      </c>
    </row>
    <row r="47" spans="2:19">
      <c r="B47" s="2">
        <v>17</v>
      </c>
      <c r="C47" s="2">
        <v>25</v>
      </c>
      <c r="D47" s="2">
        <v>1</v>
      </c>
      <c r="E47" s="2" t="s">
        <v>391</v>
      </c>
      <c r="F47" s="2" t="s">
        <v>392</v>
      </c>
      <c r="G47" s="2">
        <v>2</v>
      </c>
      <c r="H47" t="s">
        <v>48</v>
      </c>
      <c r="I47" t="s">
        <v>242</v>
      </c>
      <c r="J47" t="s">
        <v>49</v>
      </c>
      <c r="K47">
        <v>35</v>
      </c>
      <c r="L47" s="6">
        <v>59000</v>
      </c>
      <c r="M47" s="6">
        <v>32000</v>
      </c>
      <c r="N47" s="6">
        <f t="shared" si="3"/>
        <v>30000</v>
      </c>
      <c r="O47" s="6">
        <f t="shared" si="4"/>
        <v>27900</v>
      </c>
      <c r="P47" s="4">
        <f t="shared" si="0"/>
        <v>0.52711864406779663</v>
      </c>
      <c r="Q47" s="12">
        <f t="shared" si="5"/>
        <v>27900</v>
      </c>
      <c r="R47" s="13">
        <f t="shared" si="1"/>
        <v>0.52711864406779663</v>
      </c>
    </row>
    <row r="48" spans="2:19">
      <c r="B48" s="2">
        <v>17</v>
      </c>
      <c r="C48" s="2">
        <v>25</v>
      </c>
      <c r="D48" s="2">
        <v>1</v>
      </c>
      <c r="E48" s="2" t="s">
        <v>391</v>
      </c>
      <c r="F48" s="2" t="s">
        <v>392</v>
      </c>
      <c r="G48" s="2">
        <v>2</v>
      </c>
      <c r="H48" t="s">
        <v>48</v>
      </c>
      <c r="I48" t="s">
        <v>243</v>
      </c>
      <c r="J48" t="s">
        <v>49</v>
      </c>
      <c r="K48">
        <v>25</v>
      </c>
      <c r="L48" s="6">
        <v>59000</v>
      </c>
      <c r="M48" s="6">
        <v>32000</v>
      </c>
      <c r="N48" s="6">
        <f t="shared" si="3"/>
        <v>30000</v>
      </c>
      <c r="O48" s="6">
        <f t="shared" si="4"/>
        <v>27900</v>
      </c>
      <c r="P48" s="4">
        <f t="shared" si="0"/>
        <v>0.52711864406779663</v>
      </c>
      <c r="Q48" s="12">
        <f t="shared" si="5"/>
        <v>27900</v>
      </c>
      <c r="R48" s="13">
        <f t="shared" si="1"/>
        <v>0.52711864406779663</v>
      </c>
    </row>
    <row r="49" spans="2:19">
      <c r="B49" s="2">
        <v>17</v>
      </c>
      <c r="C49" s="2">
        <v>25</v>
      </c>
      <c r="D49" s="2">
        <v>1</v>
      </c>
      <c r="E49" s="2" t="s">
        <v>391</v>
      </c>
      <c r="F49" s="2" t="s">
        <v>392</v>
      </c>
      <c r="G49" s="2">
        <v>2</v>
      </c>
      <c r="H49" t="s">
        <v>48</v>
      </c>
      <c r="I49" t="s">
        <v>244</v>
      </c>
      <c r="J49" t="s">
        <v>49</v>
      </c>
      <c r="K49">
        <v>29</v>
      </c>
      <c r="L49" s="6">
        <v>59000</v>
      </c>
      <c r="M49" s="6">
        <v>32000</v>
      </c>
      <c r="N49" s="6">
        <f t="shared" si="3"/>
        <v>30000</v>
      </c>
      <c r="O49" s="6">
        <f t="shared" si="4"/>
        <v>27900</v>
      </c>
      <c r="P49" s="4">
        <f t="shared" si="0"/>
        <v>0.52711864406779663</v>
      </c>
      <c r="Q49" s="12">
        <f t="shared" si="5"/>
        <v>27900</v>
      </c>
      <c r="R49" s="13">
        <f t="shared" si="1"/>
        <v>0.52711864406779663</v>
      </c>
    </row>
    <row r="50" spans="2:19">
      <c r="B50" s="2">
        <v>18</v>
      </c>
      <c r="C50" s="2">
        <v>25</v>
      </c>
      <c r="D50" s="2">
        <v>1</v>
      </c>
      <c r="E50" s="2" t="s">
        <v>391</v>
      </c>
      <c r="F50" s="2" t="s">
        <v>392</v>
      </c>
      <c r="G50" s="2">
        <v>2</v>
      </c>
      <c r="H50" t="s">
        <v>117</v>
      </c>
      <c r="I50" t="s">
        <v>245</v>
      </c>
      <c r="J50" t="s">
        <v>118</v>
      </c>
      <c r="K50">
        <v>51</v>
      </c>
      <c r="L50" s="6">
        <v>49000</v>
      </c>
      <c r="M50" s="6">
        <v>26000</v>
      </c>
      <c r="N50" s="6">
        <f t="shared" si="3"/>
        <v>24000</v>
      </c>
      <c r="O50" s="6">
        <f t="shared" si="4"/>
        <v>22320</v>
      </c>
      <c r="P50" s="4">
        <f t="shared" si="0"/>
        <v>0.54448979591836733</v>
      </c>
      <c r="Q50" s="12">
        <f t="shared" si="5"/>
        <v>22320</v>
      </c>
      <c r="R50" s="13">
        <f t="shared" si="1"/>
        <v>0.54448979591836733</v>
      </c>
    </row>
    <row r="51" spans="2:19">
      <c r="B51" s="2">
        <v>19</v>
      </c>
      <c r="C51" s="2">
        <v>26</v>
      </c>
      <c r="D51" s="2">
        <v>1</v>
      </c>
      <c r="E51" s="2" t="s">
        <v>391</v>
      </c>
      <c r="F51" s="2" t="s">
        <v>392</v>
      </c>
      <c r="G51" s="2">
        <v>2</v>
      </c>
      <c r="H51" t="s">
        <v>50</v>
      </c>
      <c r="I51" t="s">
        <v>323</v>
      </c>
      <c r="J51" t="s">
        <v>51</v>
      </c>
      <c r="K51">
        <v>49</v>
      </c>
      <c r="L51" s="6">
        <v>59000</v>
      </c>
      <c r="M51" s="6">
        <v>32000</v>
      </c>
      <c r="N51" s="6">
        <f t="shared" si="3"/>
        <v>30000</v>
      </c>
      <c r="O51" s="6">
        <f t="shared" si="4"/>
        <v>27900</v>
      </c>
      <c r="P51" s="4">
        <f t="shared" si="0"/>
        <v>0.52711864406779663</v>
      </c>
      <c r="Q51" s="12">
        <f t="shared" si="5"/>
        <v>27900</v>
      </c>
      <c r="R51" s="13">
        <f t="shared" si="1"/>
        <v>0.52711864406779663</v>
      </c>
    </row>
    <row r="52" spans="2:19">
      <c r="B52" s="2">
        <v>19</v>
      </c>
      <c r="C52" s="2">
        <v>26</v>
      </c>
      <c r="D52" s="2">
        <v>1</v>
      </c>
      <c r="E52" s="2" t="s">
        <v>391</v>
      </c>
      <c r="F52" s="2" t="s">
        <v>392</v>
      </c>
      <c r="G52" s="2">
        <v>2</v>
      </c>
      <c r="H52" t="s">
        <v>50</v>
      </c>
      <c r="I52" t="s">
        <v>324</v>
      </c>
      <c r="J52" t="s">
        <v>51</v>
      </c>
      <c r="K52">
        <v>65</v>
      </c>
      <c r="L52" s="6">
        <v>59000</v>
      </c>
      <c r="M52" s="6">
        <v>32000</v>
      </c>
      <c r="N52" s="6">
        <f t="shared" si="3"/>
        <v>30000</v>
      </c>
      <c r="O52" s="6">
        <f t="shared" si="4"/>
        <v>27900</v>
      </c>
      <c r="P52" s="4">
        <f t="shared" si="0"/>
        <v>0.52711864406779663</v>
      </c>
      <c r="Q52" s="12">
        <f t="shared" si="5"/>
        <v>27900</v>
      </c>
      <c r="R52" s="13">
        <f t="shared" si="1"/>
        <v>0.52711864406779663</v>
      </c>
    </row>
    <row r="53" spans="2:19">
      <c r="B53" s="2">
        <v>20</v>
      </c>
      <c r="C53" s="2">
        <v>26</v>
      </c>
      <c r="D53" s="2">
        <v>1</v>
      </c>
      <c r="E53" s="2" t="s">
        <v>391</v>
      </c>
      <c r="F53" s="2" t="s">
        <v>392</v>
      </c>
      <c r="G53" s="2">
        <v>2</v>
      </c>
      <c r="H53" t="s">
        <v>32</v>
      </c>
      <c r="I53" t="s">
        <v>325</v>
      </c>
      <c r="J53" t="s">
        <v>33</v>
      </c>
      <c r="K53">
        <v>70</v>
      </c>
      <c r="L53" s="6">
        <v>59000</v>
      </c>
      <c r="M53" s="6">
        <v>31000</v>
      </c>
      <c r="N53" s="6">
        <f t="shared" si="3"/>
        <v>29000</v>
      </c>
      <c r="O53" s="6">
        <f t="shared" si="4"/>
        <v>26970</v>
      </c>
      <c r="P53" s="4">
        <f t="shared" si="0"/>
        <v>0.54288135593220344</v>
      </c>
      <c r="Q53" s="12">
        <f t="shared" si="5"/>
        <v>26970</v>
      </c>
      <c r="R53" s="13">
        <f t="shared" si="1"/>
        <v>0.54288135593220344</v>
      </c>
      <c r="S53" s="2" t="s">
        <v>422</v>
      </c>
    </row>
    <row r="54" spans="2:19">
      <c r="B54" s="2">
        <v>20</v>
      </c>
      <c r="C54" s="2">
        <v>26</v>
      </c>
      <c r="D54" s="2">
        <v>1</v>
      </c>
      <c r="E54" s="2" t="s">
        <v>391</v>
      </c>
      <c r="F54" s="2" t="s">
        <v>392</v>
      </c>
      <c r="G54" s="2">
        <v>2</v>
      </c>
      <c r="H54" t="s">
        <v>32</v>
      </c>
      <c r="I54" t="s">
        <v>326</v>
      </c>
      <c r="J54" t="s">
        <v>33</v>
      </c>
      <c r="K54">
        <v>26</v>
      </c>
      <c r="L54" s="6">
        <v>59000</v>
      </c>
      <c r="M54" s="6">
        <v>31000</v>
      </c>
      <c r="N54" s="6">
        <f t="shared" si="3"/>
        <v>29000</v>
      </c>
      <c r="O54" s="6">
        <f t="shared" si="4"/>
        <v>26970</v>
      </c>
      <c r="P54" s="4">
        <f t="shared" si="0"/>
        <v>0.54288135593220344</v>
      </c>
      <c r="Q54" s="12">
        <f t="shared" si="5"/>
        <v>26970</v>
      </c>
      <c r="R54" s="13">
        <f t="shared" si="1"/>
        <v>0.54288135593220344</v>
      </c>
      <c r="S54" s="2" t="s">
        <v>422</v>
      </c>
    </row>
    <row r="55" spans="2:19">
      <c r="B55" s="2">
        <v>20</v>
      </c>
      <c r="C55" s="2">
        <v>26</v>
      </c>
      <c r="D55" s="2">
        <v>1</v>
      </c>
      <c r="E55" s="2" t="s">
        <v>391</v>
      </c>
      <c r="F55" s="2" t="s">
        <v>392</v>
      </c>
      <c r="G55" s="2">
        <v>2</v>
      </c>
      <c r="H55" t="s">
        <v>32</v>
      </c>
      <c r="I55" t="s">
        <v>327</v>
      </c>
      <c r="J55" t="s">
        <v>33</v>
      </c>
      <c r="K55">
        <v>78</v>
      </c>
      <c r="L55" s="6">
        <v>59000</v>
      </c>
      <c r="M55" s="6">
        <v>31000</v>
      </c>
      <c r="N55" s="6">
        <f t="shared" si="3"/>
        <v>29000</v>
      </c>
      <c r="O55" s="6">
        <f t="shared" si="4"/>
        <v>26970</v>
      </c>
      <c r="P55" s="4">
        <f t="shared" si="0"/>
        <v>0.54288135593220344</v>
      </c>
      <c r="Q55" s="12">
        <f t="shared" si="5"/>
        <v>26970</v>
      </c>
      <c r="R55" s="13">
        <f t="shared" si="1"/>
        <v>0.54288135593220344</v>
      </c>
      <c r="S55" s="2" t="s">
        <v>422</v>
      </c>
    </row>
    <row r="56" spans="2:19">
      <c r="B56" s="2">
        <v>20</v>
      </c>
      <c r="C56" s="2">
        <v>26</v>
      </c>
      <c r="D56" s="2">
        <v>1</v>
      </c>
      <c r="E56" s="2" t="s">
        <v>391</v>
      </c>
      <c r="F56" s="2" t="s">
        <v>392</v>
      </c>
      <c r="G56" s="2">
        <v>2</v>
      </c>
      <c r="H56" t="s">
        <v>32</v>
      </c>
      <c r="I56" t="s">
        <v>328</v>
      </c>
      <c r="J56" t="s">
        <v>33</v>
      </c>
      <c r="K56">
        <v>59</v>
      </c>
      <c r="L56" s="6">
        <v>59000</v>
      </c>
      <c r="M56" s="6">
        <v>31000</v>
      </c>
      <c r="N56" s="6">
        <f t="shared" si="3"/>
        <v>29000</v>
      </c>
      <c r="O56" s="6">
        <f t="shared" si="4"/>
        <v>26970</v>
      </c>
      <c r="P56" s="4">
        <f t="shared" si="0"/>
        <v>0.54288135593220344</v>
      </c>
      <c r="Q56" s="12">
        <f t="shared" si="5"/>
        <v>26970</v>
      </c>
      <c r="R56" s="13">
        <f t="shared" si="1"/>
        <v>0.54288135593220344</v>
      </c>
      <c r="S56" s="2" t="s">
        <v>422</v>
      </c>
    </row>
    <row r="57" spans="2:19">
      <c r="B57" s="2">
        <v>21</v>
      </c>
      <c r="C57" s="2">
        <v>26</v>
      </c>
      <c r="D57" s="2">
        <v>1</v>
      </c>
      <c r="E57" s="2" t="s">
        <v>391</v>
      </c>
      <c r="F57" s="2" t="s">
        <v>392</v>
      </c>
      <c r="G57" s="2">
        <v>2</v>
      </c>
      <c r="H57" t="s">
        <v>119</v>
      </c>
      <c r="I57" t="s">
        <v>329</v>
      </c>
      <c r="J57" t="s">
        <v>120</v>
      </c>
      <c r="K57">
        <v>73</v>
      </c>
      <c r="L57" s="6">
        <v>49000</v>
      </c>
      <c r="M57" s="6">
        <v>26000</v>
      </c>
      <c r="N57" s="6">
        <f t="shared" si="3"/>
        <v>24000</v>
      </c>
      <c r="O57" s="6">
        <f t="shared" si="4"/>
        <v>22320</v>
      </c>
      <c r="P57" s="4">
        <f t="shared" si="0"/>
        <v>0.54448979591836733</v>
      </c>
      <c r="Q57" s="12">
        <f t="shared" si="5"/>
        <v>22320</v>
      </c>
      <c r="R57" s="13">
        <f t="shared" si="1"/>
        <v>0.54448979591836733</v>
      </c>
    </row>
    <row r="58" spans="2:19">
      <c r="B58" s="2">
        <v>21</v>
      </c>
      <c r="C58" s="2">
        <v>26</v>
      </c>
      <c r="D58" s="2">
        <v>1</v>
      </c>
      <c r="E58" s="2" t="s">
        <v>391</v>
      </c>
      <c r="F58" s="2" t="s">
        <v>392</v>
      </c>
      <c r="G58" s="2">
        <v>2</v>
      </c>
      <c r="H58" t="s">
        <v>119</v>
      </c>
      <c r="I58" t="s">
        <v>330</v>
      </c>
      <c r="J58" t="s">
        <v>120</v>
      </c>
      <c r="K58">
        <v>33</v>
      </c>
      <c r="L58" s="6">
        <v>49000</v>
      </c>
      <c r="M58" s="6">
        <v>26000</v>
      </c>
      <c r="N58" s="6">
        <f t="shared" si="3"/>
        <v>24000</v>
      </c>
      <c r="O58" s="6">
        <f t="shared" si="4"/>
        <v>22320</v>
      </c>
      <c r="P58" s="4">
        <f t="shared" si="0"/>
        <v>0.54448979591836733</v>
      </c>
      <c r="Q58" s="12">
        <f t="shared" si="5"/>
        <v>22320</v>
      </c>
      <c r="R58" s="13">
        <f t="shared" si="1"/>
        <v>0.54448979591836733</v>
      </c>
    </row>
    <row r="59" spans="2:19">
      <c r="B59" s="2">
        <v>22</v>
      </c>
      <c r="C59" s="2">
        <v>24</v>
      </c>
      <c r="D59" s="2">
        <v>3</v>
      </c>
      <c r="E59" s="2" t="s">
        <v>391</v>
      </c>
      <c r="F59" s="2" t="s">
        <v>392</v>
      </c>
      <c r="G59" s="2">
        <v>2</v>
      </c>
      <c r="H59" t="s">
        <v>34</v>
      </c>
      <c r="I59" t="s">
        <v>205</v>
      </c>
      <c r="J59" t="s">
        <v>35</v>
      </c>
      <c r="K59">
        <v>414</v>
      </c>
      <c r="L59" s="6">
        <v>59000</v>
      </c>
      <c r="M59" s="6">
        <v>18000</v>
      </c>
      <c r="N59" s="4"/>
      <c r="P59" s="4">
        <f t="shared" si="0"/>
        <v>1</v>
      </c>
      <c r="Q59" s="12">
        <f t="shared" si="2"/>
        <v>18000</v>
      </c>
      <c r="R59" s="13">
        <f t="shared" si="1"/>
        <v>0.69491525423728806</v>
      </c>
    </row>
    <row r="60" spans="2:19">
      <c r="B60" s="2">
        <v>22</v>
      </c>
      <c r="C60" s="2">
        <v>24</v>
      </c>
      <c r="D60" s="2">
        <v>3</v>
      </c>
      <c r="E60" s="2" t="s">
        <v>391</v>
      </c>
      <c r="F60" s="2" t="s">
        <v>392</v>
      </c>
      <c r="G60" s="2">
        <v>2</v>
      </c>
      <c r="H60" t="s">
        <v>34</v>
      </c>
      <c r="I60" t="s">
        <v>206</v>
      </c>
      <c r="J60" t="s">
        <v>35</v>
      </c>
      <c r="K60">
        <v>50</v>
      </c>
      <c r="L60" s="6">
        <v>59000</v>
      </c>
      <c r="M60" s="6">
        <v>18000</v>
      </c>
      <c r="N60" s="4"/>
      <c r="P60" s="4">
        <f t="shared" si="0"/>
        <v>1</v>
      </c>
      <c r="Q60" s="12">
        <f t="shared" si="2"/>
        <v>18000</v>
      </c>
      <c r="R60" s="13">
        <f t="shared" si="1"/>
        <v>0.69491525423728806</v>
      </c>
    </row>
    <row r="61" spans="2:19">
      <c r="B61" s="2">
        <v>23</v>
      </c>
      <c r="C61" s="2">
        <v>24</v>
      </c>
      <c r="D61" s="2">
        <v>3</v>
      </c>
      <c r="E61" s="2" t="s">
        <v>391</v>
      </c>
      <c r="F61" s="2" t="s">
        <v>392</v>
      </c>
      <c r="G61" s="2">
        <v>2</v>
      </c>
      <c r="H61" t="s">
        <v>113</v>
      </c>
      <c r="I61" t="s">
        <v>207</v>
      </c>
      <c r="J61" t="s">
        <v>114</v>
      </c>
      <c r="K61">
        <v>136</v>
      </c>
      <c r="L61" s="6">
        <v>49000</v>
      </c>
      <c r="M61" s="6">
        <v>18000</v>
      </c>
      <c r="N61" s="4"/>
      <c r="P61" s="4">
        <f t="shared" si="0"/>
        <v>1</v>
      </c>
      <c r="Q61" s="12">
        <f t="shared" si="2"/>
        <v>18000</v>
      </c>
      <c r="R61" s="13">
        <f t="shared" si="1"/>
        <v>0.63265306122448983</v>
      </c>
    </row>
    <row r="62" spans="2:19">
      <c r="B62" s="2">
        <v>23</v>
      </c>
      <c r="C62" s="2">
        <v>24</v>
      </c>
      <c r="D62" s="2">
        <v>3</v>
      </c>
      <c r="E62" s="2" t="s">
        <v>391</v>
      </c>
      <c r="F62" s="2" t="s">
        <v>392</v>
      </c>
      <c r="G62" s="2">
        <v>2</v>
      </c>
      <c r="H62" t="s">
        <v>113</v>
      </c>
      <c r="I62" t="s">
        <v>208</v>
      </c>
      <c r="J62" t="s">
        <v>114</v>
      </c>
      <c r="K62">
        <v>157</v>
      </c>
      <c r="L62" s="6">
        <v>49000</v>
      </c>
      <c r="M62" s="6">
        <v>18000</v>
      </c>
      <c r="N62" s="4"/>
      <c r="P62" s="4">
        <f t="shared" si="0"/>
        <v>1</v>
      </c>
      <c r="Q62" s="12">
        <f t="shared" si="2"/>
        <v>18000</v>
      </c>
      <c r="R62" s="13">
        <f t="shared" si="1"/>
        <v>0.63265306122448983</v>
      </c>
    </row>
    <row r="63" spans="2:19">
      <c r="B63" s="2">
        <v>23</v>
      </c>
      <c r="C63" s="2">
        <v>24</v>
      </c>
      <c r="D63" s="2">
        <v>3</v>
      </c>
      <c r="E63" s="2" t="s">
        <v>391</v>
      </c>
      <c r="F63" s="2" t="s">
        <v>392</v>
      </c>
      <c r="G63" s="2">
        <v>2</v>
      </c>
      <c r="H63" t="s">
        <v>113</v>
      </c>
      <c r="I63" t="s">
        <v>209</v>
      </c>
      <c r="J63" t="s">
        <v>114</v>
      </c>
      <c r="K63">
        <v>125</v>
      </c>
      <c r="L63" s="6">
        <v>49000</v>
      </c>
      <c r="M63" s="6">
        <v>18000</v>
      </c>
      <c r="N63" s="4"/>
      <c r="P63" s="4">
        <f t="shared" si="0"/>
        <v>1</v>
      </c>
      <c r="Q63" s="12">
        <f t="shared" si="2"/>
        <v>18000</v>
      </c>
      <c r="R63" s="13">
        <f t="shared" si="1"/>
        <v>0.63265306122448983</v>
      </c>
    </row>
    <row r="64" spans="2:19">
      <c r="B64" s="2">
        <v>24</v>
      </c>
      <c r="C64" s="2">
        <v>25</v>
      </c>
      <c r="D64" s="2">
        <v>3</v>
      </c>
      <c r="E64" s="2" t="s">
        <v>391</v>
      </c>
      <c r="F64" s="2" t="s">
        <v>392</v>
      </c>
      <c r="G64" s="2">
        <v>2</v>
      </c>
      <c r="H64" t="s">
        <v>83</v>
      </c>
      <c r="I64" t="s">
        <v>263</v>
      </c>
      <c r="J64" t="s">
        <v>84</v>
      </c>
      <c r="K64">
        <v>50</v>
      </c>
      <c r="L64" s="6">
        <v>55000</v>
      </c>
      <c r="M64" s="6">
        <v>30000</v>
      </c>
      <c r="N64" s="6">
        <f t="shared" ref="N64:N95" si="6">M64-2000</f>
        <v>28000</v>
      </c>
      <c r="O64" s="6">
        <f t="shared" ref="O64:O95" si="7">N64*0.93</f>
        <v>26040</v>
      </c>
      <c r="P64" s="4">
        <f t="shared" si="0"/>
        <v>0.52654545454545454</v>
      </c>
      <c r="Q64" s="12">
        <f t="shared" ref="Q64:Q117" si="8">O64</f>
        <v>26040</v>
      </c>
      <c r="R64" s="13">
        <f t="shared" si="1"/>
        <v>0.52654545454545454</v>
      </c>
    </row>
    <row r="65" spans="2:19">
      <c r="B65" s="2">
        <v>24</v>
      </c>
      <c r="C65" s="2">
        <v>25</v>
      </c>
      <c r="D65" s="2">
        <v>3</v>
      </c>
      <c r="E65" s="2" t="s">
        <v>391</v>
      </c>
      <c r="F65" s="2" t="s">
        <v>392</v>
      </c>
      <c r="G65" s="2">
        <v>2</v>
      </c>
      <c r="H65" t="s">
        <v>83</v>
      </c>
      <c r="I65" t="s">
        <v>264</v>
      </c>
      <c r="J65" t="s">
        <v>84</v>
      </c>
      <c r="K65">
        <v>46</v>
      </c>
      <c r="L65" s="6">
        <v>55000</v>
      </c>
      <c r="M65" s="6">
        <v>30000</v>
      </c>
      <c r="N65" s="6">
        <f t="shared" si="6"/>
        <v>28000</v>
      </c>
      <c r="O65" s="6">
        <f t="shared" si="7"/>
        <v>26040</v>
      </c>
      <c r="P65" s="4">
        <f t="shared" si="0"/>
        <v>0.52654545454545454</v>
      </c>
      <c r="Q65" s="12">
        <f t="shared" si="8"/>
        <v>26040</v>
      </c>
      <c r="R65" s="13">
        <f t="shared" si="1"/>
        <v>0.52654545454545454</v>
      </c>
    </row>
    <row r="66" spans="2:19">
      <c r="B66" s="2">
        <v>24</v>
      </c>
      <c r="C66" s="2">
        <v>25</v>
      </c>
      <c r="D66" s="2">
        <v>3</v>
      </c>
      <c r="E66" s="2" t="s">
        <v>391</v>
      </c>
      <c r="F66" s="2" t="s">
        <v>392</v>
      </c>
      <c r="G66" s="2">
        <v>2</v>
      </c>
      <c r="H66" t="s">
        <v>83</v>
      </c>
      <c r="I66" t="s">
        <v>265</v>
      </c>
      <c r="J66" t="s">
        <v>84</v>
      </c>
      <c r="K66">
        <v>45</v>
      </c>
      <c r="L66" s="6">
        <v>55000</v>
      </c>
      <c r="M66" s="6">
        <v>30000</v>
      </c>
      <c r="N66" s="6">
        <f t="shared" si="6"/>
        <v>28000</v>
      </c>
      <c r="O66" s="6">
        <f t="shared" si="7"/>
        <v>26040</v>
      </c>
      <c r="P66" s="4">
        <f t="shared" si="0"/>
        <v>0.52654545454545454</v>
      </c>
      <c r="Q66" s="12">
        <f t="shared" si="8"/>
        <v>26040</v>
      </c>
      <c r="R66" s="13">
        <f t="shared" si="1"/>
        <v>0.52654545454545454</v>
      </c>
    </row>
    <row r="67" spans="2:19">
      <c r="B67" s="2">
        <v>25</v>
      </c>
      <c r="C67" s="2">
        <v>25</v>
      </c>
      <c r="D67" s="2">
        <v>3</v>
      </c>
      <c r="E67" s="2" t="s">
        <v>391</v>
      </c>
      <c r="F67" s="2" t="s">
        <v>392</v>
      </c>
      <c r="G67" s="2">
        <v>2</v>
      </c>
      <c r="H67" t="s">
        <v>145</v>
      </c>
      <c r="I67" t="s">
        <v>266</v>
      </c>
      <c r="J67" t="s">
        <v>146</v>
      </c>
      <c r="K67">
        <v>44</v>
      </c>
      <c r="L67" s="6">
        <v>59000</v>
      </c>
      <c r="M67" s="6">
        <v>27000</v>
      </c>
      <c r="N67" s="6">
        <f t="shared" si="6"/>
        <v>25000</v>
      </c>
      <c r="O67" s="6">
        <f t="shared" si="7"/>
        <v>23250</v>
      </c>
      <c r="P67" s="4">
        <f t="shared" si="0"/>
        <v>0.60593220338983045</v>
      </c>
      <c r="Q67" s="12">
        <f t="shared" si="8"/>
        <v>23250</v>
      </c>
      <c r="R67" s="13">
        <f t="shared" si="1"/>
        <v>0.60593220338983045</v>
      </c>
      <c r="S67" s="2" t="s">
        <v>422</v>
      </c>
    </row>
    <row r="68" spans="2:19">
      <c r="B68" s="2">
        <v>25</v>
      </c>
      <c r="C68" s="2">
        <v>25</v>
      </c>
      <c r="D68" s="2">
        <v>3</v>
      </c>
      <c r="E68" s="2" t="s">
        <v>391</v>
      </c>
      <c r="F68" s="2" t="s">
        <v>392</v>
      </c>
      <c r="G68" s="2">
        <v>2</v>
      </c>
      <c r="H68" t="s">
        <v>145</v>
      </c>
      <c r="I68" t="s">
        <v>267</v>
      </c>
      <c r="J68" t="s">
        <v>146</v>
      </c>
      <c r="K68">
        <v>62</v>
      </c>
      <c r="L68" s="6">
        <v>59000</v>
      </c>
      <c r="M68" s="6">
        <v>27000</v>
      </c>
      <c r="N68" s="6">
        <f t="shared" si="6"/>
        <v>25000</v>
      </c>
      <c r="O68" s="6">
        <f t="shared" si="7"/>
        <v>23250</v>
      </c>
      <c r="P68" s="4">
        <f t="shared" si="0"/>
        <v>0.60593220338983045</v>
      </c>
      <c r="Q68" s="12">
        <f t="shared" si="8"/>
        <v>23250</v>
      </c>
      <c r="R68" s="13">
        <f t="shared" si="1"/>
        <v>0.60593220338983045</v>
      </c>
      <c r="S68" s="2" t="s">
        <v>422</v>
      </c>
    </row>
    <row r="69" spans="2:19">
      <c r="B69" s="2">
        <v>25</v>
      </c>
      <c r="C69" s="2">
        <v>25</v>
      </c>
      <c r="D69" s="2">
        <v>3</v>
      </c>
      <c r="E69" s="2" t="s">
        <v>391</v>
      </c>
      <c r="F69" s="2" t="s">
        <v>392</v>
      </c>
      <c r="G69" s="2">
        <v>2</v>
      </c>
      <c r="H69" t="s">
        <v>145</v>
      </c>
      <c r="I69" t="s">
        <v>268</v>
      </c>
      <c r="J69" t="s">
        <v>146</v>
      </c>
      <c r="K69">
        <v>41</v>
      </c>
      <c r="L69" s="6">
        <v>59000</v>
      </c>
      <c r="M69" s="6">
        <v>27000</v>
      </c>
      <c r="N69" s="6">
        <f t="shared" si="6"/>
        <v>25000</v>
      </c>
      <c r="O69" s="6">
        <f t="shared" si="7"/>
        <v>23250</v>
      </c>
      <c r="P69" s="4">
        <f t="shared" si="0"/>
        <v>0.60593220338983045</v>
      </c>
      <c r="Q69" s="12">
        <f t="shared" si="8"/>
        <v>23250</v>
      </c>
      <c r="R69" s="13">
        <f t="shared" si="1"/>
        <v>0.60593220338983045</v>
      </c>
      <c r="S69" s="2" t="s">
        <v>422</v>
      </c>
    </row>
    <row r="70" spans="2:19">
      <c r="B70" s="2">
        <v>26</v>
      </c>
      <c r="C70" s="2">
        <v>25</v>
      </c>
      <c r="D70" s="2">
        <v>3</v>
      </c>
      <c r="E70" s="2" t="s">
        <v>391</v>
      </c>
      <c r="F70" s="2" t="s">
        <v>392</v>
      </c>
      <c r="G70" s="2">
        <v>2</v>
      </c>
      <c r="H70" t="s">
        <v>54</v>
      </c>
      <c r="I70" t="s">
        <v>269</v>
      </c>
      <c r="J70" t="s">
        <v>55</v>
      </c>
      <c r="K70">
        <v>45</v>
      </c>
      <c r="L70" s="6">
        <v>59000</v>
      </c>
      <c r="M70" s="6">
        <v>27000</v>
      </c>
      <c r="N70" s="6">
        <f t="shared" si="6"/>
        <v>25000</v>
      </c>
      <c r="O70" s="6">
        <f t="shared" si="7"/>
        <v>23250</v>
      </c>
      <c r="P70" s="4">
        <f t="shared" si="0"/>
        <v>0.60593220338983045</v>
      </c>
      <c r="Q70" s="12">
        <f t="shared" si="8"/>
        <v>23250</v>
      </c>
      <c r="R70" s="13">
        <f t="shared" si="1"/>
        <v>0.60593220338983045</v>
      </c>
      <c r="S70" s="2" t="s">
        <v>422</v>
      </c>
    </row>
    <row r="71" spans="2:19">
      <c r="B71" s="2">
        <v>26</v>
      </c>
      <c r="C71" s="2">
        <v>25</v>
      </c>
      <c r="D71" s="2">
        <v>3</v>
      </c>
      <c r="E71" s="2" t="s">
        <v>391</v>
      </c>
      <c r="F71" s="2" t="s">
        <v>392</v>
      </c>
      <c r="G71" s="2">
        <v>2</v>
      </c>
      <c r="H71" t="s">
        <v>54</v>
      </c>
      <c r="I71" t="s">
        <v>270</v>
      </c>
      <c r="J71" t="s">
        <v>55</v>
      </c>
      <c r="K71">
        <v>106</v>
      </c>
      <c r="L71" s="6">
        <v>59000</v>
      </c>
      <c r="M71" s="6">
        <v>27000</v>
      </c>
      <c r="N71" s="6">
        <f t="shared" si="6"/>
        <v>25000</v>
      </c>
      <c r="O71" s="6">
        <f t="shared" si="7"/>
        <v>23250</v>
      </c>
      <c r="P71" s="4">
        <f t="shared" si="0"/>
        <v>0.60593220338983045</v>
      </c>
      <c r="Q71" s="12">
        <f t="shared" si="8"/>
        <v>23250</v>
      </c>
      <c r="R71" s="13">
        <f t="shared" si="1"/>
        <v>0.60593220338983045</v>
      </c>
      <c r="S71" s="2" t="s">
        <v>422</v>
      </c>
    </row>
    <row r="72" spans="2:19">
      <c r="B72" s="2">
        <v>26</v>
      </c>
      <c r="C72" s="2">
        <v>25</v>
      </c>
      <c r="D72" s="2">
        <v>3</v>
      </c>
      <c r="E72" s="2" t="s">
        <v>391</v>
      </c>
      <c r="F72" s="2" t="s">
        <v>392</v>
      </c>
      <c r="G72" s="2">
        <v>2</v>
      </c>
      <c r="H72" t="s">
        <v>54</v>
      </c>
      <c r="I72" t="s">
        <v>271</v>
      </c>
      <c r="J72" t="s">
        <v>55</v>
      </c>
      <c r="K72">
        <v>31</v>
      </c>
      <c r="L72" s="6">
        <v>59000</v>
      </c>
      <c r="M72" s="6">
        <v>27000</v>
      </c>
      <c r="N72" s="6">
        <f t="shared" si="6"/>
        <v>25000</v>
      </c>
      <c r="O72" s="6">
        <f t="shared" si="7"/>
        <v>23250</v>
      </c>
      <c r="P72" s="4">
        <f t="shared" si="0"/>
        <v>0.60593220338983045</v>
      </c>
      <c r="Q72" s="12">
        <f t="shared" si="8"/>
        <v>23250</v>
      </c>
      <c r="R72" s="13">
        <f t="shared" si="1"/>
        <v>0.60593220338983045</v>
      </c>
      <c r="S72" s="2" t="s">
        <v>422</v>
      </c>
    </row>
    <row r="73" spans="2:19">
      <c r="B73" s="2">
        <v>27</v>
      </c>
      <c r="C73" s="2">
        <v>25</v>
      </c>
      <c r="D73" s="2">
        <v>3</v>
      </c>
      <c r="E73" s="2" t="s">
        <v>391</v>
      </c>
      <c r="F73" s="2" t="s">
        <v>392</v>
      </c>
      <c r="G73" s="2">
        <v>2</v>
      </c>
      <c r="H73" t="s">
        <v>109</v>
      </c>
      <c r="I73" t="s">
        <v>272</v>
      </c>
      <c r="J73" t="s">
        <v>110</v>
      </c>
      <c r="K73">
        <v>74</v>
      </c>
      <c r="L73" s="6">
        <v>49000</v>
      </c>
      <c r="M73" s="6">
        <v>27000</v>
      </c>
      <c r="N73" s="6">
        <f t="shared" si="6"/>
        <v>25000</v>
      </c>
      <c r="O73" s="6">
        <f t="shared" si="7"/>
        <v>23250</v>
      </c>
      <c r="P73" s="4">
        <f t="shared" ref="P73:P136" si="9">1-O73/L73</f>
        <v>0.52551020408163263</v>
      </c>
      <c r="Q73" s="12">
        <f t="shared" si="8"/>
        <v>23250</v>
      </c>
      <c r="R73" s="13">
        <f t="shared" ref="R73:R136" si="10">1-Q73/L73</f>
        <v>0.52551020408163263</v>
      </c>
      <c r="S73" s="2" t="s">
        <v>422</v>
      </c>
    </row>
    <row r="74" spans="2:19">
      <c r="B74" s="2">
        <v>27</v>
      </c>
      <c r="C74" s="2">
        <v>25</v>
      </c>
      <c r="D74" s="2">
        <v>3</v>
      </c>
      <c r="E74" s="2" t="s">
        <v>391</v>
      </c>
      <c r="F74" s="2" t="s">
        <v>392</v>
      </c>
      <c r="G74" s="2">
        <v>2</v>
      </c>
      <c r="H74" t="s">
        <v>109</v>
      </c>
      <c r="I74" t="s">
        <v>273</v>
      </c>
      <c r="J74" t="s">
        <v>110</v>
      </c>
      <c r="K74">
        <v>73</v>
      </c>
      <c r="L74" s="6">
        <v>49000</v>
      </c>
      <c r="M74" s="6">
        <v>27000</v>
      </c>
      <c r="N74" s="6">
        <f t="shared" si="6"/>
        <v>25000</v>
      </c>
      <c r="O74" s="6">
        <f t="shared" si="7"/>
        <v>23250</v>
      </c>
      <c r="P74" s="4">
        <f t="shared" si="9"/>
        <v>0.52551020408163263</v>
      </c>
      <c r="Q74" s="12">
        <f t="shared" si="8"/>
        <v>23250</v>
      </c>
      <c r="R74" s="13">
        <f t="shared" si="10"/>
        <v>0.52551020408163263</v>
      </c>
      <c r="S74" s="2" t="s">
        <v>422</v>
      </c>
    </row>
    <row r="75" spans="2:19">
      <c r="B75" s="2">
        <v>28</v>
      </c>
      <c r="C75" s="2">
        <v>25</v>
      </c>
      <c r="D75" s="2">
        <v>3</v>
      </c>
      <c r="E75" s="2" t="s">
        <v>391</v>
      </c>
      <c r="F75" s="2" t="s">
        <v>392</v>
      </c>
      <c r="G75" s="2">
        <v>2</v>
      </c>
      <c r="H75" t="s">
        <v>135</v>
      </c>
      <c r="I75" t="s">
        <v>274</v>
      </c>
      <c r="J75" t="s">
        <v>136</v>
      </c>
      <c r="K75">
        <v>40</v>
      </c>
      <c r="L75" s="6">
        <v>55000</v>
      </c>
      <c r="M75" s="6">
        <v>30000</v>
      </c>
      <c r="N75" s="6">
        <f t="shared" si="6"/>
        <v>28000</v>
      </c>
      <c r="O75" s="6">
        <f t="shared" si="7"/>
        <v>26040</v>
      </c>
      <c r="P75" s="4">
        <f t="shared" si="9"/>
        <v>0.52654545454545454</v>
      </c>
      <c r="Q75" s="12">
        <f t="shared" si="8"/>
        <v>26040</v>
      </c>
      <c r="R75" s="13">
        <f t="shared" si="10"/>
        <v>0.52654545454545454</v>
      </c>
    </row>
    <row r="76" spans="2:19">
      <c r="B76" s="2">
        <v>28</v>
      </c>
      <c r="C76" s="2">
        <v>25</v>
      </c>
      <c r="D76" s="2">
        <v>3</v>
      </c>
      <c r="E76" s="2" t="s">
        <v>391</v>
      </c>
      <c r="F76" s="2" t="s">
        <v>392</v>
      </c>
      <c r="G76" s="2">
        <v>2</v>
      </c>
      <c r="H76" t="s">
        <v>135</v>
      </c>
      <c r="I76" t="s">
        <v>275</v>
      </c>
      <c r="J76" t="s">
        <v>136</v>
      </c>
      <c r="K76">
        <v>21</v>
      </c>
      <c r="L76" s="6">
        <v>55000</v>
      </c>
      <c r="M76" s="6">
        <v>30000</v>
      </c>
      <c r="N76" s="6">
        <f t="shared" si="6"/>
        <v>28000</v>
      </c>
      <c r="O76" s="6">
        <f t="shared" si="7"/>
        <v>26040</v>
      </c>
      <c r="P76" s="4">
        <f t="shared" si="9"/>
        <v>0.52654545454545454</v>
      </c>
      <c r="Q76" s="12">
        <f t="shared" si="8"/>
        <v>26040</v>
      </c>
      <c r="R76" s="13">
        <f t="shared" si="10"/>
        <v>0.52654545454545454</v>
      </c>
    </row>
    <row r="77" spans="2:19">
      <c r="B77" s="2">
        <v>29</v>
      </c>
      <c r="C77" s="2">
        <v>26</v>
      </c>
      <c r="D77" s="2">
        <v>3</v>
      </c>
      <c r="E77" s="2" t="s">
        <v>391</v>
      </c>
      <c r="F77" s="2" t="s">
        <v>392</v>
      </c>
      <c r="G77" s="2">
        <v>2</v>
      </c>
      <c r="H77" t="s">
        <v>149</v>
      </c>
      <c r="I77" t="s">
        <v>370</v>
      </c>
      <c r="J77" t="s">
        <v>148</v>
      </c>
      <c r="K77">
        <v>216</v>
      </c>
      <c r="L77" s="6">
        <v>59000</v>
      </c>
      <c r="M77" s="6">
        <v>47000</v>
      </c>
      <c r="N77" s="6">
        <f t="shared" si="6"/>
        <v>45000</v>
      </c>
      <c r="O77" s="6">
        <f t="shared" si="7"/>
        <v>41850</v>
      </c>
      <c r="P77" s="4">
        <f t="shared" si="9"/>
        <v>0.29067796610169494</v>
      </c>
      <c r="Q77" s="12">
        <f t="shared" si="8"/>
        <v>41850</v>
      </c>
      <c r="R77" s="13">
        <f t="shared" si="10"/>
        <v>0.29067796610169494</v>
      </c>
    </row>
    <row r="78" spans="2:19">
      <c r="B78" s="2">
        <v>29</v>
      </c>
      <c r="C78" s="2">
        <v>26</v>
      </c>
      <c r="D78" s="2">
        <v>3</v>
      </c>
      <c r="E78" s="2" t="s">
        <v>391</v>
      </c>
      <c r="F78" s="2" t="s">
        <v>392</v>
      </c>
      <c r="G78" s="2">
        <v>2</v>
      </c>
      <c r="H78" t="s">
        <v>149</v>
      </c>
      <c r="I78" t="s">
        <v>371</v>
      </c>
      <c r="J78" t="s">
        <v>148</v>
      </c>
      <c r="K78">
        <v>212</v>
      </c>
      <c r="L78" s="6">
        <v>59000</v>
      </c>
      <c r="M78" s="6">
        <v>47000</v>
      </c>
      <c r="N78" s="6">
        <f t="shared" si="6"/>
        <v>45000</v>
      </c>
      <c r="O78" s="6">
        <f t="shared" si="7"/>
        <v>41850</v>
      </c>
      <c r="P78" s="4">
        <f t="shared" si="9"/>
        <v>0.29067796610169494</v>
      </c>
      <c r="Q78" s="12">
        <f t="shared" si="8"/>
        <v>41850</v>
      </c>
      <c r="R78" s="13">
        <f t="shared" si="10"/>
        <v>0.29067796610169494</v>
      </c>
    </row>
    <row r="79" spans="2:19">
      <c r="B79" s="2">
        <v>29</v>
      </c>
      <c r="C79" s="2">
        <v>26</v>
      </c>
      <c r="D79" s="2">
        <v>3</v>
      </c>
      <c r="E79" s="2" t="s">
        <v>391</v>
      </c>
      <c r="F79" s="2" t="s">
        <v>392</v>
      </c>
      <c r="G79" s="2">
        <v>2</v>
      </c>
      <c r="H79" t="s">
        <v>149</v>
      </c>
      <c r="I79" t="s">
        <v>372</v>
      </c>
      <c r="J79" t="s">
        <v>148</v>
      </c>
      <c r="K79">
        <v>206</v>
      </c>
      <c r="L79" s="6">
        <v>59000</v>
      </c>
      <c r="M79" s="6">
        <v>47000</v>
      </c>
      <c r="N79" s="6">
        <f t="shared" si="6"/>
        <v>45000</v>
      </c>
      <c r="O79" s="6">
        <f t="shared" si="7"/>
        <v>41850</v>
      </c>
      <c r="P79" s="4">
        <f t="shared" si="9"/>
        <v>0.29067796610169494</v>
      </c>
      <c r="Q79" s="12">
        <f t="shared" si="8"/>
        <v>41850</v>
      </c>
      <c r="R79" s="13">
        <f t="shared" si="10"/>
        <v>0.29067796610169494</v>
      </c>
    </row>
    <row r="80" spans="2:19">
      <c r="B80" s="2">
        <v>30</v>
      </c>
      <c r="C80" s="2">
        <v>26</v>
      </c>
      <c r="D80" s="2">
        <v>3</v>
      </c>
      <c r="E80" s="2" t="s">
        <v>391</v>
      </c>
      <c r="F80" s="2" t="s">
        <v>392</v>
      </c>
      <c r="G80" s="2">
        <v>2</v>
      </c>
      <c r="H80" t="s">
        <v>44</v>
      </c>
      <c r="I80" t="s">
        <v>373</v>
      </c>
      <c r="J80" t="s">
        <v>45</v>
      </c>
      <c r="K80">
        <v>259</v>
      </c>
      <c r="L80" s="6">
        <v>59000</v>
      </c>
      <c r="M80" s="6">
        <v>47000</v>
      </c>
      <c r="N80" s="6">
        <f t="shared" si="6"/>
        <v>45000</v>
      </c>
      <c r="O80" s="6">
        <f t="shared" si="7"/>
        <v>41850</v>
      </c>
      <c r="P80" s="4">
        <f t="shared" si="9"/>
        <v>0.29067796610169494</v>
      </c>
      <c r="Q80" s="12">
        <f t="shared" si="8"/>
        <v>41850</v>
      </c>
      <c r="R80" s="13">
        <f t="shared" si="10"/>
        <v>0.29067796610169494</v>
      </c>
    </row>
    <row r="81" spans="2:20">
      <c r="B81" s="2">
        <v>30</v>
      </c>
      <c r="C81" s="2">
        <v>26</v>
      </c>
      <c r="D81" s="2">
        <v>3</v>
      </c>
      <c r="E81" s="2" t="s">
        <v>391</v>
      </c>
      <c r="F81" s="2" t="s">
        <v>392</v>
      </c>
      <c r="G81" s="2">
        <v>2</v>
      </c>
      <c r="H81" t="s">
        <v>44</v>
      </c>
      <c r="I81" t="s">
        <v>374</v>
      </c>
      <c r="J81" t="s">
        <v>45</v>
      </c>
      <c r="K81">
        <v>262</v>
      </c>
      <c r="L81" s="6">
        <v>59000</v>
      </c>
      <c r="M81" s="6">
        <v>47000</v>
      </c>
      <c r="N81" s="6">
        <f t="shared" si="6"/>
        <v>45000</v>
      </c>
      <c r="O81" s="6">
        <f t="shared" si="7"/>
        <v>41850</v>
      </c>
      <c r="P81" s="4">
        <f t="shared" si="9"/>
        <v>0.29067796610169494</v>
      </c>
      <c r="Q81" s="12">
        <f t="shared" si="8"/>
        <v>41850</v>
      </c>
      <c r="R81" s="13">
        <f t="shared" si="10"/>
        <v>0.29067796610169494</v>
      </c>
    </row>
    <row r="82" spans="2:20" s="21" customFormat="1">
      <c r="B82" s="2">
        <v>30</v>
      </c>
      <c r="C82" s="2">
        <v>26</v>
      </c>
      <c r="D82" s="2">
        <v>3</v>
      </c>
      <c r="E82" s="2" t="s">
        <v>391</v>
      </c>
      <c r="F82" s="2" t="s">
        <v>392</v>
      </c>
      <c r="G82" s="2">
        <v>2</v>
      </c>
      <c r="H82" t="s">
        <v>44</v>
      </c>
      <c r="I82" t="s">
        <v>375</v>
      </c>
      <c r="J82" t="s">
        <v>45</v>
      </c>
      <c r="K82">
        <v>310</v>
      </c>
      <c r="L82" s="6">
        <v>59000</v>
      </c>
      <c r="M82" s="6">
        <v>47000</v>
      </c>
      <c r="N82" s="6">
        <f t="shared" si="6"/>
        <v>45000</v>
      </c>
      <c r="O82" s="6">
        <f t="shared" si="7"/>
        <v>41850</v>
      </c>
      <c r="P82" s="4">
        <f t="shared" si="9"/>
        <v>0.29067796610169494</v>
      </c>
      <c r="Q82" s="12">
        <f t="shared" si="8"/>
        <v>41850</v>
      </c>
      <c r="R82" s="13">
        <f t="shared" si="10"/>
        <v>0.29067796610169494</v>
      </c>
      <c r="S82" s="2"/>
      <c r="T82"/>
    </row>
    <row r="83" spans="2:20">
      <c r="B83" s="2">
        <v>31</v>
      </c>
      <c r="C83" s="2">
        <v>26</v>
      </c>
      <c r="D83" s="2">
        <v>3</v>
      </c>
      <c r="E83" s="2" t="s">
        <v>391</v>
      </c>
      <c r="F83" s="2" t="s">
        <v>392</v>
      </c>
      <c r="G83" s="2">
        <v>2</v>
      </c>
      <c r="H83" t="s">
        <v>97</v>
      </c>
      <c r="I83" t="s">
        <v>376</v>
      </c>
      <c r="J83" t="s">
        <v>98</v>
      </c>
      <c r="K83">
        <v>173</v>
      </c>
      <c r="L83" s="6">
        <v>49000</v>
      </c>
      <c r="M83" s="6">
        <v>39000</v>
      </c>
      <c r="N83" s="6">
        <f t="shared" si="6"/>
        <v>37000</v>
      </c>
      <c r="O83" s="6">
        <f t="shared" si="7"/>
        <v>34410</v>
      </c>
      <c r="P83" s="4">
        <f t="shared" si="9"/>
        <v>0.29775510204081634</v>
      </c>
      <c r="Q83" s="12">
        <f t="shared" si="8"/>
        <v>34410</v>
      </c>
      <c r="R83" s="13">
        <f t="shared" si="10"/>
        <v>0.29775510204081634</v>
      </c>
    </row>
    <row r="84" spans="2:20" s="18" customFormat="1">
      <c r="B84" s="2">
        <v>31</v>
      </c>
      <c r="C84" s="2">
        <v>26</v>
      </c>
      <c r="D84" s="2">
        <v>3</v>
      </c>
      <c r="E84" s="2" t="s">
        <v>391</v>
      </c>
      <c r="F84" s="2" t="s">
        <v>392</v>
      </c>
      <c r="G84" s="2">
        <v>2</v>
      </c>
      <c r="H84" t="s">
        <v>97</v>
      </c>
      <c r="I84" t="s">
        <v>377</v>
      </c>
      <c r="J84" t="s">
        <v>98</v>
      </c>
      <c r="K84">
        <v>175</v>
      </c>
      <c r="L84" s="6">
        <v>49000</v>
      </c>
      <c r="M84" s="6">
        <v>39000</v>
      </c>
      <c r="N84" s="6">
        <f t="shared" si="6"/>
        <v>37000</v>
      </c>
      <c r="O84" s="6">
        <f t="shared" si="7"/>
        <v>34410</v>
      </c>
      <c r="P84" s="4">
        <f t="shared" si="9"/>
        <v>0.29775510204081634</v>
      </c>
      <c r="Q84" s="12">
        <f t="shared" si="8"/>
        <v>34410</v>
      </c>
      <c r="R84" s="13">
        <f t="shared" si="10"/>
        <v>0.29775510204081634</v>
      </c>
      <c r="S84" s="2"/>
      <c r="T84"/>
    </row>
    <row r="85" spans="2:20" s="18" customFormat="1">
      <c r="B85" s="2">
        <v>32</v>
      </c>
      <c r="C85" s="2">
        <v>26</v>
      </c>
      <c r="D85" s="2">
        <v>1</v>
      </c>
      <c r="E85" s="2" t="s">
        <v>397</v>
      </c>
      <c r="F85" s="2" t="s">
        <v>398</v>
      </c>
      <c r="G85" s="2">
        <v>3</v>
      </c>
      <c r="H85" t="s">
        <v>39</v>
      </c>
      <c r="I85" t="s">
        <v>331</v>
      </c>
      <c r="J85" t="s">
        <v>38</v>
      </c>
      <c r="K85">
        <v>128</v>
      </c>
      <c r="L85" s="6">
        <v>65000</v>
      </c>
      <c r="M85" s="6">
        <v>32000</v>
      </c>
      <c r="N85" s="6">
        <f t="shared" si="6"/>
        <v>30000</v>
      </c>
      <c r="O85" s="6">
        <f t="shared" si="7"/>
        <v>27900</v>
      </c>
      <c r="P85" s="4">
        <f t="shared" si="9"/>
        <v>0.5707692307692307</v>
      </c>
      <c r="Q85" s="12">
        <f t="shared" si="8"/>
        <v>27900</v>
      </c>
      <c r="R85" s="13">
        <f t="shared" si="10"/>
        <v>0.5707692307692307</v>
      </c>
      <c r="S85" s="2" t="s">
        <v>422</v>
      </c>
      <c r="T85"/>
    </row>
    <row r="86" spans="2:20">
      <c r="B86" s="2">
        <v>33</v>
      </c>
      <c r="C86" s="14">
        <v>24</v>
      </c>
      <c r="D86" s="14">
        <v>3</v>
      </c>
      <c r="E86" s="14" t="s">
        <v>397</v>
      </c>
      <c r="F86" s="14" t="s">
        <v>398</v>
      </c>
      <c r="G86" s="14">
        <v>3</v>
      </c>
      <c r="H86" s="18" t="s">
        <v>121</v>
      </c>
      <c r="I86" s="18" t="s">
        <v>210</v>
      </c>
      <c r="J86" s="18" t="s">
        <v>122</v>
      </c>
      <c r="K86">
        <v>134</v>
      </c>
      <c r="L86" s="19">
        <v>65000</v>
      </c>
      <c r="M86" s="19">
        <v>23000</v>
      </c>
      <c r="N86" s="6">
        <f t="shared" si="6"/>
        <v>21000</v>
      </c>
      <c r="O86" s="19">
        <f t="shared" si="7"/>
        <v>19530</v>
      </c>
      <c r="P86" s="20">
        <f t="shared" si="9"/>
        <v>0.69953846153846155</v>
      </c>
      <c r="Q86" s="12">
        <f t="shared" si="8"/>
        <v>19530</v>
      </c>
      <c r="R86" s="16">
        <f t="shared" si="10"/>
        <v>0.69953846153846155</v>
      </c>
      <c r="S86" s="14"/>
    </row>
    <row r="87" spans="2:20">
      <c r="B87" s="2">
        <v>33</v>
      </c>
      <c r="C87" s="14">
        <v>24</v>
      </c>
      <c r="D87" s="14">
        <v>3</v>
      </c>
      <c r="E87" s="14" t="s">
        <v>397</v>
      </c>
      <c r="F87" s="14" t="s">
        <v>398</v>
      </c>
      <c r="G87" s="14">
        <v>3</v>
      </c>
      <c r="H87" s="18" t="s">
        <v>121</v>
      </c>
      <c r="I87" s="18" t="s">
        <v>211</v>
      </c>
      <c r="J87" s="18" t="s">
        <v>122</v>
      </c>
      <c r="K87">
        <v>184</v>
      </c>
      <c r="L87" s="19">
        <v>65000</v>
      </c>
      <c r="M87" s="19">
        <v>23000</v>
      </c>
      <c r="N87" s="6">
        <f t="shared" si="6"/>
        <v>21000</v>
      </c>
      <c r="O87" s="19">
        <f t="shared" si="7"/>
        <v>19530</v>
      </c>
      <c r="P87" s="20">
        <f t="shared" si="9"/>
        <v>0.69953846153846155</v>
      </c>
      <c r="Q87" s="12">
        <f t="shared" si="8"/>
        <v>19530</v>
      </c>
      <c r="R87" s="16">
        <f t="shared" si="10"/>
        <v>0.69953846153846155</v>
      </c>
      <c r="S87" s="14"/>
    </row>
    <row r="88" spans="2:20">
      <c r="B88" s="2">
        <v>34</v>
      </c>
      <c r="C88" s="2">
        <v>25</v>
      </c>
      <c r="D88" s="2">
        <v>3</v>
      </c>
      <c r="E88" s="2" t="s">
        <v>397</v>
      </c>
      <c r="F88" s="2" t="s">
        <v>398</v>
      </c>
      <c r="G88" s="2">
        <v>3</v>
      </c>
      <c r="H88" t="s">
        <v>186</v>
      </c>
      <c r="I88" t="s">
        <v>276</v>
      </c>
      <c r="J88" t="s">
        <v>187</v>
      </c>
      <c r="K88">
        <v>30</v>
      </c>
      <c r="L88" s="6">
        <v>62000</v>
      </c>
      <c r="M88" s="6">
        <v>34000</v>
      </c>
      <c r="N88" s="6">
        <f t="shared" si="6"/>
        <v>32000</v>
      </c>
      <c r="O88" s="6">
        <f t="shared" si="7"/>
        <v>29760</v>
      </c>
      <c r="P88" s="4">
        <f t="shared" si="9"/>
        <v>0.52</v>
      </c>
      <c r="Q88" s="12">
        <f t="shared" si="8"/>
        <v>29760</v>
      </c>
      <c r="R88" s="13">
        <f t="shared" si="10"/>
        <v>0.52</v>
      </c>
    </row>
    <row r="89" spans="2:20">
      <c r="B89" s="2">
        <v>34</v>
      </c>
      <c r="C89" s="2">
        <v>25</v>
      </c>
      <c r="D89" s="2">
        <v>3</v>
      </c>
      <c r="E89" s="2" t="s">
        <v>397</v>
      </c>
      <c r="F89" s="2" t="s">
        <v>398</v>
      </c>
      <c r="G89" s="2">
        <v>3</v>
      </c>
      <c r="H89" t="s">
        <v>186</v>
      </c>
      <c r="I89" t="s">
        <v>277</v>
      </c>
      <c r="J89" t="s">
        <v>187</v>
      </c>
      <c r="K89">
        <v>42</v>
      </c>
      <c r="L89" s="6">
        <v>62000</v>
      </c>
      <c r="M89" s="6">
        <v>34000</v>
      </c>
      <c r="N89" s="6">
        <f t="shared" si="6"/>
        <v>32000</v>
      </c>
      <c r="O89" s="6">
        <f t="shared" si="7"/>
        <v>29760</v>
      </c>
      <c r="P89" s="4">
        <f t="shared" si="9"/>
        <v>0.52</v>
      </c>
      <c r="Q89" s="12">
        <f t="shared" si="8"/>
        <v>29760</v>
      </c>
      <c r="R89" s="13">
        <f t="shared" si="10"/>
        <v>0.52</v>
      </c>
    </row>
    <row r="90" spans="2:20">
      <c r="B90" s="2">
        <v>35</v>
      </c>
      <c r="C90" s="2">
        <v>25</v>
      </c>
      <c r="D90" s="2">
        <v>3</v>
      </c>
      <c r="E90" s="2" t="s">
        <v>397</v>
      </c>
      <c r="F90" s="2" t="s">
        <v>398</v>
      </c>
      <c r="G90" s="2">
        <v>3</v>
      </c>
      <c r="H90" t="s">
        <v>166</v>
      </c>
      <c r="I90" t="s">
        <v>278</v>
      </c>
      <c r="J90" t="s">
        <v>167</v>
      </c>
      <c r="K90">
        <v>128</v>
      </c>
      <c r="L90" s="6">
        <v>65000</v>
      </c>
      <c r="M90" s="6">
        <v>27000</v>
      </c>
      <c r="N90" s="6">
        <f t="shared" si="6"/>
        <v>25000</v>
      </c>
      <c r="O90" s="6">
        <f t="shared" si="7"/>
        <v>23250</v>
      </c>
      <c r="P90" s="4">
        <f t="shared" si="9"/>
        <v>0.64230769230769225</v>
      </c>
      <c r="Q90" s="12">
        <f t="shared" si="8"/>
        <v>23250</v>
      </c>
      <c r="R90" s="13">
        <f t="shared" si="10"/>
        <v>0.64230769230769225</v>
      </c>
      <c r="S90" s="2" t="s">
        <v>422</v>
      </c>
    </row>
    <row r="91" spans="2:20">
      <c r="B91" s="2">
        <v>35</v>
      </c>
      <c r="C91" s="2">
        <v>25</v>
      </c>
      <c r="D91" s="2">
        <v>3</v>
      </c>
      <c r="E91" s="2" t="s">
        <v>397</v>
      </c>
      <c r="F91" s="2" t="s">
        <v>398</v>
      </c>
      <c r="G91" s="2">
        <v>3</v>
      </c>
      <c r="H91" t="s">
        <v>166</v>
      </c>
      <c r="I91" t="s">
        <v>279</v>
      </c>
      <c r="J91" t="s">
        <v>167</v>
      </c>
      <c r="K91">
        <v>182</v>
      </c>
      <c r="L91" s="6">
        <v>65000</v>
      </c>
      <c r="M91" s="6">
        <v>27000</v>
      </c>
      <c r="N91" s="6">
        <f t="shared" si="6"/>
        <v>25000</v>
      </c>
      <c r="O91" s="6">
        <f t="shared" si="7"/>
        <v>23250</v>
      </c>
      <c r="P91" s="4">
        <f t="shared" si="9"/>
        <v>0.64230769230769225</v>
      </c>
      <c r="Q91" s="12">
        <f t="shared" si="8"/>
        <v>23250</v>
      </c>
      <c r="R91" s="13">
        <f t="shared" si="10"/>
        <v>0.64230769230769225</v>
      </c>
      <c r="S91" s="2" t="s">
        <v>422</v>
      </c>
    </row>
    <row r="92" spans="2:20">
      <c r="B92" s="2">
        <v>35</v>
      </c>
      <c r="C92" s="2">
        <v>25</v>
      </c>
      <c r="D92" s="2">
        <v>3</v>
      </c>
      <c r="E92" s="2" t="s">
        <v>397</v>
      </c>
      <c r="F92" s="2" t="s">
        <v>398</v>
      </c>
      <c r="G92" s="2">
        <v>3</v>
      </c>
      <c r="H92" t="s">
        <v>166</v>
      </c>
      <c r="I92" t="s">
        <v>280</v>
      </c>
      <c r="J92" t="s">
        <v>167</v>
      </c>
      <c r="K92">
        <v>64</v>
      </c>
      <c r="L92" s="6">
        <v>65000</v>
      </c>
      <c r="M92" s="6">
        <v>27000</v>
      </c>
      <c r="N92" s="6">
        <f t="shared" si="6"/>
        <v>25000</v>
      </c>
      <c r="O92" s="6">
        <f t="shared" si="7"/>
        <v>23250</v>
      </c>
      <c r="P92" s="4">
        <f t="shared" si="9"/>
        <v>0.64230769230769225</v>
      </c>
      <c r="Q92" s="12">
        <f t="shared" si="8"/>
        <v>23250</v>
      </c>
      <c r="R92" s="13">
        <f t="shared" si="10"/>
        <v>0.64230769230769225</v>
      </c>
      <c r="S92" s="2" t="s">
        <v>422</v>
      </c>
    </row>
    <row r="93" spans="2:20">
      <c r="B93" s="2">
        <v>36</v>
      </c>
      <c r="C93" s="2">
        <v>25</v>
      </c>
      <c r="D93" s="2">
        <v>3</v>
      </c>
      <c r="E93" s="2" t="s">
        <v>397</v>
      </c>
      <c r="F93" s="2" t="s">
        <v>398</v>
      </c>
      <c r="G93" s="2">
        <v>3</v>
      </c>
      <c r="H93" t="s">
        <v>40</v>
      </c>
      <c r="I93" t="s">
        <v>281</v>
      </c>
      <c r="J93" t="s">
        <v>41</v>
      </c>
      <c r="K93">
        <v>65</v>
      </c>
      <c r="L93" s="6">
        <v>65000</v>
      </c>
      <c r="M93" s="6">
        <v>27000</v>
      </c>
      <c r="N93" s="6">
        <f t="shared" si="6"/>
        <v>25000</v>
      </c>
      <c r="O93" s="6">
        <f t="shared" si="7"/>
        <v>23250</v>
      </c>
      <c r="P93" s="4">
        <f t="shared" si="9"/>
        <v>0.64230769230769225</v>
      </c>
      <c r="Q93" s="12">
        <f t="shared" si="8"/>
        <v>23250</v>
      </c>
      <c r="R93" s="13">
        <f t="shared" si="10"/>
        <v>0.64230769230769225</v>
      </c>
      <c r="S93" s="2" t="s">
        <v>422</v>
      </c>
    </row>
    <row r="94" spans="2:20">
      <c r="B94" s="2">
        <v>36</v>
      </c>
      <c r="C94" s="2">
        <v>25</v>
      </c>
      <c r="D94" s="2">
        <v>3</v>
      </c>
      <c r="E94" s="2" t="s">
        <v>397</v>
      </c>
      <c r="F94" s="2" t="s">
        <v>398</v>
      </c>
      <c r="G94" s="2">
        <v>3</v>
      </c>
      <c r="H94" t="s">
        <v>40</v>
      </c>
      <c r="I94" t="s">
        <v>282</v>
      </c>
      <c r="J94" t="s">
        <v>41</v>
      </c>
      <c r="K94">
        <v>280</v>
      </c>
      <c r="L94" s="6">
        <v>65000</v>
      </c>
      <c r="M94" s="6">
        <v>27000</v>
      </c>
      <c r="N94" s="6">
        <f t="shared" si="6"/>
        <v>25000</v>
      </c>
      <c r="O94" s="6">
        <f t="shared" si="7"/>
        <v>23250</v>
      </c>
      <c r="P94" s="4">
        <f t="shared" si="9"/>
        <v>0.64230769230769225</v>
      </c>
      <c r="Q94" s="12">
        <f t="shared" si="8"/>
        <v>23250</v>
      </c>
      <c r="R94" s="13">
        <f t="shared" si="10"/>
        <v>0.64230769230769225</v>
      </c>
      <c r="S94" s="2" t="s">
        <v>422</v>
      </c>
    </row>
    <row r="95" spans="2:20">
      <c r="B95" s="2">
        <v>37</v>
      </c>
      <c r="C95" s="2">
        <v>25</v>
      </c>
      <c r="D95" s="2">
        <v>3</v>
      </c>
      <c r="E95" s="2" t="s">
        <v>397</v>
      </c>
      <c r="F95" s="2" t="s">
        <v>398</v>
      </c>
      <c r="G95" s="2">
        <v>3</v>
      </c>
      <c r="H95" t="s">
        <v>101</v>
      </c>
      <c r="I95" t="s">
        <v>283</v>
      </c>
      <c r="J95" t="s">
        <v>102</v>
      </c>
      <c r="K95">
        <v>140</v>
      </c>
      <c r="L95" s="6">
        <v>62000</v>
      </c>
      <c r="M95" s="6">
        <v>27000</v>
      </c>
      <c r="N95" s="6">
        <f t="shared" si="6"/>
        <v>25000</v>
      </c>
      <c r="O95" s="6">
        <f t="shared" si="7"/>
        <v>23250</v>
      </c>
      <c r="P95" s="4">
        <f t="shared" si="9"/>
        <v>0.625</v>
      </c>
      <c r="Q95" s="12">
        <f t="shared" si="8"/>
        <v>23250</v>
      </c>
      <c r="R95" s="13">
        <f t="shared" si="10"/>
        <v>0.625</v>
      </c>
      <c r="S95" s="2" t="s">
        <v>422</v>
      </c>
    </row>
    <row r="96" spans="2:20">
      <c r="B96" s="2">
        <v>37</v>
      </c>
      <c r="C96" s="2">
        <v>25</v>
      </c>
      <c r="D96" s="2">
        <v>3</v>
      </c>
      <c r="E96" s="2" t="s">
        <v>397</v>
      </c>
      <c r="F96" s="2" t="s">
        <v>398</v>
      </c>
      <c r="G96" s="2">
        <v>3</v>
      </c>
      <c r="H96" t="s">
        <v>101</v>
      </c>
      <c r="I96" t="s">
        <v>284</v>
      </c>
      <c r="J96" t="s">
        <v>102</v>
      </c>
      <c r="K96">
        <v>48</v>
      </c>
      <c r="L96" s="6">
        <v>62000</v>
      </c>
      <c r="M96" s="6">
        <v>27000</v>
      </c>
      <c r="N96" s="6">
        <f t="shared" ref="N96:N117" si="11">M96-2000</f>
        <v>25000</v>
      </c>
      <c r="O96" s="6">
        <f t="shared" ref="O96:O117" si="12">N96*0.93</f>
        <v>23250</v>
      </c>
      <c r="P96" s="4">
        <f t="shared" si="9"/>
        <v>0.625</v>
      </c>
      <c r="Q96" s="12">
        <f t="shared" si="8"/>
        <v>23250</v>
      </c>
      <c r="R96" s="13">
        <f t="shared" si="10"/>
        <v>0.625</v>
      </c>
      <c r="S96" s="2" t="s">
        <v>422</v>
      </c>
    </row>
    <row r="97" spans="2:20" s="18" customFormat="1">
      <c r="B97" s="2">
        <v>38</v>
      </c>
      <c r="C97" s="2">
        <v>26</v>
      </c>
      <c r="D97" s="2">
        <v>3</v>
      </c>
      <c r="E97" s="2" t="s">
        <v>397</v>
      </c>
      <c r="F97" s="2" t="s">
        <v>398</v>
      </c>
      <c r="G97" s="2">
        <v>3</v>
      </c>
      <c r="H97" t="s">
        <v>125</v>
      </c>
      <c r="I97" t="s">
        <v>378</v>
      </c>
      <c r="J97" t="s">
        <v>126</v>
      </c>
      <c r="K97">
        <v>151</v>
      </c>
      <c r="L97" s="6">
        <v>65000</v>
      </c>
      <c r="M97" s="6">
        <f>L97*0.8</f>
        <v>52000</v>
      </c>
      <c r="N97" s="6">
        <f t="shared" si="11"/>
        <v>50000</v>
      </c>
      <c r="O97" s="6">
        <f t="shared" si="12"/>
        <v>46500</v>
      </c>
      <c r="P97" s="4">
        <f t="shared" si="9"/>
        <v>0.2846153846153846</v>
      </c>
      <c r="Q97" s="12">
        <f t="shared" si="8"/>
        <v>46500</v>
      </c>
      <c r="R97" s="13">
        <f t="shared" si="10"/>
        <v>0.2846153846153846</v>
      </c>
      <c r="S97" s="2"/>
      <c r="T97"/>
    </row>
    <row r="98" spans="2:20" s="18" customFormat="1">
      <c r="B98" s="2">
        <v>38</v>
      </c>
      <c r="C98" s="2">
        <v>26</v>
      </c>
      <c r="D98" s="2">
        <v>3</v>
      </c>
      <c r="E98" s="2" t="s">
        <v>397</v>
      </c>
      <c r="F98" s="2" t="s">
        <v>398</v>
      </c>
      <c r="G98" s="2">
        <v>3</v>
      </c>
      <c r="H98" t="s">
        <v>125</v>
      </c>
      <c r="I98" t="s">
        <v>379</v>
      </c>
      <c r="J98" t="s">
        <v>126</v>
      </c>
      <c r="K98">
        <v>152</v>
      </c>
      <c r="L98" s="6">
        <v>65000</v>
      </c>
      <c r="M98" s="6">
        <f>L98*0.8</f>
        <v>52000</v>
      </c>
      <c r="N98" s="6">
        <f t="shared" si="11"/>
        <v>50000</v>
      </c>
      <c r="O98" s="6">
        <f t="shared" si="12"/>
        <v>46500</v>
      </c>
      <c r="P98" s="4">
        <f t="shared" si="9"/>
        <v>0.2846153846153846</v>
      </c>
      <c r="Q98" s="12">
        <f t="shared" si="8"/>
        <v>46500</v>
      </c>
      <c r="R98" s="13">
        <f t="shared" si="10"/>
        <v>0.2846153846153846</v>
      </c>
      <c r="S98" s="2"/>
      <c r="T98"/>
    </row>
    <row r="99" spans="2:20">
      <c r="B99" s="2">
        <v>39</v>
      </c>
      <c r="C99" s="14">
        <v>24</v>
      </c>
      <c r="D99" s="14">
        <v>3</v>
      </c>
      <c r="E99" s="14" t="s">
        <v>393</v>
      </c>
      <c r="F99" s="14" t="s">
        <v>394</v>
      </c>
      <c r="G99" s="14">
        <v>4</v>
      </c>
      <c r="H99" s="18" t="s">
        <v>93</v>
      </c>
      <c r="I99" s="18" t="s">
        <v>203</v>
      </c>
      <c r="J99" s="18" t="s">
        <v>94</v>
      </c>
      <c r="K99">
        <v>68</v>
      </c>
      <c r="L99" s="19">
        <v>65000</v>
      </c>
      <c r="M99" s="19">
        <v>23000</v>
      </c>
      <c r="N99" s="6">
        <f t="shared" si="11"/>
        <v>21000</v>
      </c>
      <c r="O99" s="19">
        <f t="shared" si="12"/>
        <v>19530</v>
      </c>
      <c r="P99" s="20">
        <f t="shared" si="9"/>
        <v>0.69953846153846155</v>
      </c>
      <c r="Q99" s="12">
        <f t="shared" si="8"/>
        <v>19530</v>
      </c>
      <c r="R99" s="16">
        <f t="shared" si="10"/>
        <v>0.69953846153846155</v>
      </c>
      <c r="S99" s="14"/>
    </row>
    <row r="100" spans="2:20">
      <c r="B100" s="2">
        <v>39</v>
      </c>
      <c r="C100" s="14">
        <v>24</v>
      </c>
      <c r="D100" s="14">
        <v>3</v>
      </c>
      <c r="E100" s="14" t="s">
        <v>393</v>
      </c>
      <c r="F100" s="14" t="s">
        <v>394</v>
      </c>
      <c r="G100" s="14">
        <v>4</v>
      </c>
      <c r="H100" s="18" t="s">
        <v>93</v>
      </c>
      <c r="I100" s="18" t="s">
        <v>204</v>
      </c>
      <c r="J100" s="18" t="s">
        <v>94</v>
      </c>
      <c r="K100">
        <v>91</v>
      </c>
      <c r="L100" s="19">
        <v>65000</v>
      </c>
      <c r="M100" s="19">
        <v>23000</v>
      </c>
      <c r="N100" s="6">
        <f t="shared" si="11"/>
        <v>21000</v>
      </c>
      <c r="O100" s="19">
        <f t="shared" si="12"/>
        <v>19530</v>
      </c>
      <c r="P100" s="20">
        <f t="shared" si="9"/>
        <v>0.69953846153846155</v>
      </c>
      <c r="Q100" s="12">
        <f t="shared" si="8"/>
        <v>19530</v>
      </c>
      <c r="R100" s="16">
        <f t="shared" si="10"/>
        <v>0.69953846153846155</v>
      </c>
      <c r="S100" s="14"/>
    </row>
    <row r="101" spans="2:20">
      <c r="B101" s="2">
        <v>40</v>
      </c>
      <c r="C101" s="2">
        <v>25</v>
      </c>
      <c r="D101" s="2">
        <v>3</v>
      </c>
      <c r="E101" s="2" t="s">
        <v>393</v>
      </c>
      <c r="F101" s="2" t="s">
        <v>394</v>
      </c>
      <c r="G101" s="2">
        <v>4</v>
      </c>
      <c r="H101" t="s">
        <v>87</v>
      </c>
      <c r="I101" t="s">
        <v>257</v>
      </c>
      <c r="J101" t="s">
        <v>88</v>
      </c>
      <c r="K101">
        <v>73</v>
      </c>
      <c r="L101" s="6">
        <v>65000</v>
      </c>
      <c r="M101" s="6">
        <v>27000</v>
      </c>
      <c r="N101" s="6">
        <f t="shared" si="11"/>
        <v>25000</v>
      </c>
      <c r="O101" s="6">
        <f t="shared" si="12"/>
        <v>23250</v>
      </c>
      <c r="P101" s="4">
        <f t="shared" si="9"/>
        <v>0.64230769230769225</v>
      </c>
      <c r="Q101" s="12">
        <f t="shared" si="8"/>
        <v>23250</v>
      </c>
      <c r="R101" s="13">
        <f t="shared" si="10"/>
        <v>0.64230769230769225</v>
      </c>
      <c r="S101" s="2" t="s">
        <v>422</v>
      </c>
    </row>
    <row r="102" spans="2:20">
      <c r="B102" s="2">
        <v>40</v>
      </c>
      <c r="C102" s="2">
        <v>25</v>
      </c>
      <c r="D102" s="2">
        <v>3</v>
      </c>
      <c r="E102" s="2" t="s">
        <v>393</v>
      </c>
      <c r="F102" s="2" t="s">
        <v>394</v>
      </c>
      <c r="G102" s="2">
        <v>4</v>
      </c>
      <c r="H102" t="s">
        <v>87</v>
      </c>
      <c r="I102" t="s">
        <v>258</v>
      </c>
      <c r="J102" t="s">
        <v>88</v>
      </c>
      <c r="K102">
        <v>32</v>
      </c>
      <c r="L102" s="6">
        <v>65000</v>
      </c>
      <c r="M102" s="6">
        <v>27000</v>
      </c>
      <c r="N102" s="6">
        <f t="shared" si="11"/>
        <v>25000</v>
      </c>
      <c r="O102" s="6">
        <f t="shared" si="12"/>
        <v>23250</v>
      </c>
      <c r="P102" s="4">
        <f t="shared" si="9"/>
        <v>0.64230769230769225</v>
      </c>
      <c r="Q102" s="12">
        <f t="shared" si="8"/>
        <v>23250</v>
      </c>
      <c r="R102" s="13">
        <f t="shared" si="10"/>
        <v>0.64230769230769225</v>
      </c>
    </row>
    <row r="103" spans="2:20">
      <c r="B103" s="2">
        <v>41</v>
      </c>
      <c r="C103" s="2">
        <v>26</v>
      </c>
      <c r="D103" s="2">
        <v>3</v>
      </c>
      <c r="E103" s="2" t="s">
        <v>393</v>
      </c>
      <c r="F103" s="2" t="s">
        <v>394</v>
      </c>
      <c r="G103" s="2">
        <v>4</v>
      </c>
      <c r="H103" t="s">
        <v>24</v>
      </c>
      <c r="I103" t="s">
        <v>342</v>
      </c>
      <c r="J103" t="s">
        <v>25</v>
      </c>
      <c r="K103">
        <v>223</v>
      </c>
      <c r="L103" s="6">
        <v>49000</v>
      </c>
      <c r="M103" s="6">
        <v>39000</v>
      </c>
      <c r="N103" s="6">
        <f t="shared" si="11"/>
        <v>37000</v>
      </c>
      <c r="O103" s="6">
        <f t="shared" si="12"/>
        <v>34410</v>
      </c>
      <c r="P103" s="4">
        <f t="shared" si="9"/>
        <v>0.29775510204081634</v>
      </c>
      <c r="Q103" s="12">
        <f t="shared" si="8"/>
        <v>34410</v>
      </c>
      <c r="R103" s="13">
        <f t="shared" si="10"/>
        <v>0.29775510204081634</v>
      </c>
    </row>
    <row r="104" spans="2:20">
      <c r="B104" s="2">
        <v>41</v>
      </c>
      <c r="C104" s="2">
        <v>26</v>
      </c>
      <c r="D104" s="2">
        <v>3</v>
      </c>
      <c r="E104" s="2" t="s">
        <v>393</v>
      </c>
      <c r="F104" s="2" t="s">
        <v>394</v>
      </c>
      <c r="G104" s="2">
        <v>4</v>
      </c>
      <c r="H104" t="s">
        <v>24</v>
      </c>
      <c r="I104" t="s">
        <v>343</v>
      </c>
      <c r="J104" t="s">
        <v>25</v>
      </c>
      <c r="K104">
        <v>222</v>
      </c>
      <c r="L104" s="6">
        <v>49000</v>
      </c>
      <c r="M104" s="6">
        <v>39000</v>
      </c>
      <c r="N104" s="6">
        <f t="shared" si="11"/>
        <v>37000</v>
      </c>
      <c r="O104" s="6">
        <f t="shared" si="12"/>
        <v>34410</v>
      </c>
      <c r="P104" s="4">
        <f t="shared" si="9"/>
        <v>0.29775510204081634</v>
      </c>
      <c r="Q104" s="12">
        <f t="shared" si="8"/>
        <v>34410</v>
      </c>
      <c r="R104" s="13">
        <f t="shared" si="10"/>
        <v>0.29775510204081634</v>
      </c>
    </row>
    <row r="105" spans="2:20">
      <c r="B105" s="2">
        <v>42</v>
      </c>
      <c r="C105" s="2">
        <v>26</v>
      </c>
      <c r="D105" s="2">
        <v>3</v>
      </c>
      <c r="E105" s="2" t="s">
        <v>393</v>
      </c>
      <c r="F105" s="2" t="s">
        <v>394</v>
      </c>
      <c r="G105" s="2">
        <v>4</v>
      </c>
      <c r="H105" t="s">
        <v>152</v>
      </c>
      <c r="I105" t="s">
        <v>344</v>
      </c>
      <c r="J105" t="s">
        <v>153</v>
      </c>
      <c r="K105">
        <v>219</v>
      </c>
      <c r="L105" s="6">
        <v>65000</v>
      </c>
      <c r="M105" s="6">
        <f>L105*0.8</f>
        <v>52000</v>
      </c>
      <c r="N105" s="6">
        <f t="shared" si="11"/>
        <v>50000</v>
      </c>
      <c r="O105" s="6">
        <f t="shared" si="12"/>
        <v>46500</v>
      </c>
      <c r="P105" s="4">
        <f t="shared" si="9"/>
        <v>0.2846153846153846</v>
      </c>
      <c r="Q105" s="12">
        <f t="shared" si="8"/>
        <v>46500</v>
      </c>
      <c r="R105" s="13">
        <f t="shared" si="10"/>
        <v>0.2846153846153846</v>
      </c>
    </row>
    <row r="106" spans="2:20">
      <c r="B106" s="2">
        <v>42</v>
      </c>
      <c r="C106" s="2">
        <v>26</v>
      </c>
      <c r="D106" s="2">
        <v>3</v>
      </c>
      <c r="E106" s="2" t="s">
        <v>393</v>
      </c>
      <c r="F106" s="2" t="s">
        <v>394</v>
      </c>
      <c r="G106" s="2">
        <v>4</v>
      </c>
      <c r="H106" t="s">
        <v>152</v>
      </c>
      <c r="I106" t="s">
        <v>345</v>
      </c>
      <c r="J106" t="s">
        <v>153</v>
      </c>
      <c r="K106">
        <v>317</v>
      </c>
      <c r="L106" s="6">
        <v>65000</v>
      </c>
      <c r="M106" s="6">
        <f>L106*0.8</f>
        <v>52000</v>
      </c>
      <c r="N106" s="6">
        <f t="shared" si="11"/>
        <v>50000</v>
      </c>
      <c r="O106" s="6">
        <f t="shared" si="12"/>
        <v>46500</v>
      </c>
      <c r="P106" s="4">
        <f t="shared" si="9"/>
        <v>0.2846153846153846</v>
      </c>
      <c r="Q106" s="12">
        <f t="shared" si="8"/>
        <v>46500</v>
      </c>
      <c r="R106" s="13">
        <f t="shared" si="10"/>
        <v>0.2846153846153846</v>
      </c>
    </row>
    <row r="107" spans="2:20">
      <c r="B107" s="2">
        <v>43</v>
      </c>
      <c r="C107" s="2">
        <v>26</v>
      </c>
      <c r="D107" s="2">
        <v>3</v>
      </c>
      <c r="E107" s="2" t="s">
        <v>393</v>
      </c>
      <c r="F107" s="2" t="s">
        <v>394</v>
      </c>
      <c r="G107" s="2">
        <v>4</v>
      </c>
      <c r="H107" t="s">
        <v>129</v>
      </c>
      <c r="I107" t="s">
        <v>346</v>
      </c>
      <c r="J107" t="s">
        <v>130</v>
      </c>
      <c r="K107">
        <v>169</v>
      </c>
      <c r="L107" s="6">
        <v>62000</v>
      </c>
      <c r="M107" s="6">
        <v>49000</v>
      </c>
      <c r="N107" s="6">
        <f t="shared" si="11"/>
        <v>47000</v>
      </c>
      <c r="O107" s="6">
        <f t="shared" si="12"/>
        <v>43710</v>
      </c>
      <c r="P107" s="4">
        <f t="shared" si="9"/>
        <v>0.29500000000000004</v>
      </c>
      <c r="Q107" s="12">
        <f t="shared" si="8"/>
        <v>43710</v>
      </c>
      <c r="R107" s="13">
        <f t="shared" si="10"/>
        <v>0.29500000000000004</v>
      </c>
    </row>
    <row r="108" spans="2:20">
      <c r="B108" s="2">
        <v>43</v>
      </c>
      <c r="C108" s="2">
        <v>26</v>
      </c>
      <c r="D108" s="2">
        <v>3</v>
      </c>
      <c r="E108" s="2" t="s">
        <v>393</v>
      </c>
      <c r="F108" s="2" t="s">
        <v>394</v>
      </c>
      <c r="G108" s="2">
        <v>4</v>
      </c>
      <c r="H108" t="s">
        <v>129</v>
      </c>
      <c r="I108" t="s">
        <v>347</v>
      </c>
      <c r="J108" t="s">
        <v>130</v>
      </c>
      <c r="K108">
        <v>170</v>
      </c>
      <c r="L108" s="6">
        <v>62000</v>
      </c>
      <c r="M108" s="6">
        <v>49000</v>
      </c>
      <c r="N108" s="6">
        <f t="shared" si="11"/>
        <v>47000</v>
      </c>
      <c r="O108" s="6">
        <f t="shared" si="12"/>
        <v>43710</v>
      </c>
      <c r="P108" s="4">
        <f t="shared" si="9"/>
        <v>0.29500000000000004</v>
      </c>
      <c r="Q108" s="12">
        <f t="shared" si="8"/>
        <v>43710</v>
      </c>
      <c r="R108" s="13">
        <f t="shared" si="10"/>
        <v>0.29500000000000004</v>
      </c>
    </row>
    <row r="109" spans="2:20">
      <c r="B109" s="2">
        <v>44</v>
      </c>
      <c r="C109" s="2">
        <v>25</v>
      </c>
      <c r="D109" s="2">
        <v>3</v>
      </c>
      <c r="E109" s="2" t="s">
        <v>406</v>
      </c>
      <c r="F109" s="2" t="s">
        <v>407</v>
      </c>
      <c r="G109" s="2">
        <v>5</v>
      </c>
      <c r="H109" t="s">
        <v>96</v>
      </c>
      <c r="I109" t="s">
        <v>259</v>
      </c>
      <c r="J109" t="s">
        <v>95</v>
      </c>
      <c r="K109">
        <v>34</v>
      </c>
      <c r="L109" s="6">
        <v>89000</v>
      </c>
      <c r="M109" s="6">
        <v>48000</v>
      </c>
      <c r="N109" s="6">
        <f t="shared" si="11"/>
        <v>46000</v>
      </c>
      <c r="O109" s="6">
        <f t="shared" si="12"/>
        <v>42780</v>
      </c>
      <c r="P109" s="4">
        <f t="shared" si="9"/>
        <v>0.51932584269662918</v>
      </c>
      <c r="Q109" s="12">
        <f t="shared" si="8"/>
        <v>42780</v>
      </c>
      <c r="R109" s="13">
        <f t="shared" si="10"/>
        <v>0.51932584269662918</v>
      </c>
    </row>
    <row r="110" spans="2:20">
      <c r="B110" s="2">
        <v>44</v>
      </c>
      <c r="C110" s="24">
        <v>25</v>
      </c>
      <c r="D110" s="24">
        <v>3</v>
      </c>
      <c r="E110" s="24" t="s">
        <v>406</v>
      </c>
      <c r="F110" s="24" t="s">
        <v>407</v>
      </c>
      <c r="G110" s="24">
        <v>5</v>
      </c>
      <c r="H110" s="17" t="s">
        <v>96</v>
      </c>
      <c r="I110" s="17" t="s">
        <v>260</v>
      </c>
      <c r="J110" s="17" t="s">
        <v>95</v>
      </c>
      <c r="K110" s="17">
        <v>36</v>
      </c>
      <c r="L110" s="25">
        <v>89000</v>
      </c>
      <c r="M110" s="25">
        <v>48000</v>
      </c>
      <c r="N110" s="25">
        <f t="shared" si="11"/>
        <v>46000</v>
      </c>
      <c r="O110" s="25">
        <f t="shared" si="12"/>
        <v>42780</v>
      </c>
      <c r="P110" s="26">
        <f t="shared" si="9"/>
        <v>0.51932584269662918</v>
      </c>
      <c r="Q110" s="12">
        <f t="shared" si="8"/>
        <v>42780</v>
      </c>
      <c r="R110" s="13">
        <f t="shared" si="10"/>
        <v>0.51932584269662918</v>
      </c>
      <c r="S110" s="8"/>
    </row>
    <row r="111" spans="2:20">
      <c r="B111" s="2">
        <v>45</v>
      </c>
      <c r="C111" s="24">
        <v>25</v>
      </c>
      <c r="D111" s="24">
        <v>1</v>
      </c>
      <c r="E111" s="24" t="s">
        <v>404</v>
      </c>
      <c r="F111" s="24" t="s">
        <v>405</v>
      </c>
      <c r="G111" s="24">
        <v>6</v>
      </c>
      <c r="H111" s="17" t="s">
        <v>127</v>
      </c>
      <c r="I111" s="17" t="s">
        <v>234</v>
      </c>
      <c r="J111" s="17" t="s">
        <v>128</v>
      </c>
      <c r="K111" s="17">
        <v>26</v>
      </c>
      <c r="L111" s="25">
        <v>55000</v>
      </c>
      <c r="M111" s="25">
        <v>30000</v>
      </c>
      <c r="N111" s="25">
        <f t="shared" si="11"/>
        <v>28000</v>
      </c>
      <c r="O111" s="25">
        <f t="shared" si="12"/>
        <v>26040</v>
      </c>
      <c r="P111" s="26">
        <f t="shared" si="9"/>
        <v>0.52654545454545454</v>
      </c>
      <c r="Q111" s="12">
        <f t="shared" si="8"/>
        <v>26040</v>
      </c>
      <c r="R111" s="13">
        <f t="shared" si="10"/>
        <v>0.52654545454545454</v>
      </c>
    </row>
    <row r="112" spans="2:20">
      <c r="B112" s="2">
        <v>45</v>
      </c>
      <c r="C112" s="24">
        <v>25</v>
      </c>
      <c r="D112" s="24">
        <v>1</v>
      </c>
      <c r="E112" s="24" t="s">
        <v>404</v>
      </c>
      <c r="F112" s="24" t="s">
        <v>405</v>
      </c>
      <c r="G112" s="24">
        <v>6</v>
      </c>
      <c r="H112" s="17" t="s">
        <v>127</v>
      </c>
      <c r="I112" s="17" t="s">
        <v>235</v>
      </c>
      <c r="J112" s="17" t="s">
        <v>128</v>
      </c>
      <c r="K112" s="17">
        <v>67</v>
      </c>
      <c r="L112" s="25">
        <v>55000</v>
      </c>
      <c r="M112" s="25">
        <v>30000</v>
      </c>
      <c r="N112" s="25">
        <f t="shared" si="11"/>
        <v>28000</v>
      </c>
      <c r="O112" s="25">
        <f t="shared" si="12"/>
        <v>26040</v>
      </c>
      <c r="P112" s="26">
        <f t="shared" si="9"/>
        <v>0.52654545454545454</v>
      </c>
      <c r="Q112" s="12">
        <f t="shared" si="8"/>
        <v>26040</v>
      </c>
      <c r="R112" s="13">
        <f t="shared" si="10"/>
        <v>0.52654545454545454</v>
      </c>
    </row>
    <row r="113" spans="2:20">
      <c r="B113" s="2">
        <v>46</v>
      </c>
      <c r="C113" s="2">
        <v>26</v>
      </c>
      <c r="D113" s="2">
        <v>1</v>
      </c>
      <c r="E113" s="2" t="s">
        <v>404</v>
      </c>
      <c r="F113" s="2" t="s">
        <v>405</v>
      </c>
      <c r="G113" s="2">
        <v>6</v>
      </c>
      <c r="H113" t="s">
        <v>64</v>
      </c>
      <c r="I113" t="s">
        <v>312</v>
      </c>
      <c r="J113" t="s">
        <v>65</v>
      </c>
      <c r="K113">
        <v>45</v>
      </c>
      <c r="L113" s="6">
        <v>69000</v>
      </c>
      <c r="M113" s="6">
        <v>37000</v>
      </c>
      <c r="N113" s="6">
        <f t="shared" si="11"/>
        <v>35000</v>
      </c>
      <c r="O113" s="6">
        <f t="shared" si="12"/>
        <v>32550</v>
      </c>
      <c r="P113" s="4">
        <f t="shared" si="9"/>
        <v>0.52826086956521734</v>
      </c>
      <c r="Q113" s="12">
        <f t="shared" si="8"/>
        <v>32550</v>
      </c>
      <c r="R113" s="13">
        <f t="shared" si="10"/>
        <v>0.52826086956521734</v>
      </c>
    </row>
    <row r="114" spans="2:20">
      <c r="B114" s="2">
        <v>46</v>
      </c>
      <c r="C114" s="2">
        <v>26</v>
      </c>
      <c r="D114" s="2">
        <v>1</v>
      </c>
      <c r="E114" s="2" t="s">
        <v>404</v>
      </c>
      <c r="F114" s="2" t="s">
        <v>405</v>
      </c>
      <c r="G114" s="2">
        <v>6</v>
      </c>
      <c r="H114" t="s">
        <v>64</v>
      </c>
      <c r="I114" t="s">
        <v>313</v>
      </c>
      <c r="J114" t="s">
        <v>65</v>
      </c>
      <c r="K114">
        <v>31</v>
      </c>
      <c r="L114" s="6">
        <v>69000</v>
      </c>
      <c r="M114" s="6">
        <v>37000</v>
      </c>
      <c r="N114" s="6">
        <f t="shared" si="11"/>
        <v>35000</v>
      </c>
      <c r="O114" s="6">
        <f t="shared" si="12"/>
        <v>32550</v>
      </c>
      <c r="P114" s="4">
        <f t="shared" si="9"/>
        <v>0.52826086956521734</v>
      </c>
      <c r="Q114" s="12">
        <f t="shared" si="8"/>
        <v>32550</v>
      </c>
      <c r="R114" s="13">
        <f t="shared" si="10"/>
        <v>0.52826086956521734</v>
      </c>
    </row>
    <row r="115" spans="2:20">
      <c r="B115" s="2">
        <v>47</v>
      </c>
      <c r="C115" s="2">
        <v>26</v>
      </c>
      <c r="D115" s="2">
        <v>1</v>
      </c>
      <c r="E115" s="2" t="s">
        <v>404</v>
      </c>
      <c r="F115" s="2" t="s">
        <v>405</v>
      </c>
      <c r="G115" s="2">
        <v>6</v>
      </c>
      <c r="H115" t="s">
        <v>111</v>
      </c>
      <c r="I115" t="s">
        <v>314</v>
      </c>
      <c r="J115" t="s">
        <v>112</v>
      </c>
      <c r="K115">
        <v>59</v>
      </c>
      <c r="L115" s="6">
        <v>65000</v>
      </c>
      <c r="M115" s="6">
        <v>35000</v>
      </c>
      <c r="N115" s="6">
        <f t="shared" si="11"/>
        <v>33000</v>
      </c>
      <c r="O115" s="6">
        <f t="shared" si="12"/>
        <v>30690</v>
      </c>
      <c r="P115" s="4">
        <f t="shared" si="9"/>
        <v>0.52784615384615385</v>
      </c>
      <c r="Q115" s="12">
        <f t="shared" si="8"/>
        <v>30690</v>
      </c>
      <c r="R115" s="13">
        <f t="shared" si="10"/>
        <v>0.52784615384615385</v>
      </c>
    </row>
    <row r="116" spans="2:20" s="18" customFormat="1">
      <c r="B116" s="2">
        <v>48</v>
      </c>
      <c r="C116" s="2">
        <v>26</v>
      </c>
      <c r="D116" s="2">
        <v>3</v>
      </c>
      <c r="E116" s="2" t="s">
        <v>404</v>
      </c>
      <c r="F116" s="2" t="s">
        <v>405</v>
      </c>
      <c r="G116" s="2">
        <v>6</v>
      </c>
      <c r="H116" t="s">
        <v>28</v>
      </c>
      <c r="I116" t="s">
        <v>348</v>
      </c>
      <c r="J116" t="s">
        <v>29</v>
      </c>
      <c r="K116">
        <v>216</v>
      </c>
      <c r="L116" s="6">
        <v>69000</v>
      </c>
      <c r="M116" s="6">
        <v>55000</v>
      </c>
      <c r="N116" s="6">
        <f t="shared" si="11"/>
        <v>53000</v>
      </c>
      <c r="O116" s="6">
        <f t="shared" si="12"/>
        <v>49290</v>
      </c>
      <c r="P116" s="4">
        <f t="shared" si="9"/>
        <v>0.28565217391304343</v>
      </c>
      <c r="Q116" s="12">
        <f t="shared" si="8"/>
        <v>49290</v>
      </c>
      <c r="R116" s="13">
        <f t="shared" si="10"/>
        <v>0.28565217391304343</v>
      </c>
      <c r="S116" s="2"/>
      <c r="T116"/>
    </row>
    <row r="117" spans="2:20" s="18" customFormat="1">
      <c r="B117" s="2">
        <v>48</v>
      </c>
      <c r="C117" s="2">
        <v>26</v>
      </c>
      <c r="D117" s="2">
        <v>3</v>
      </c>
      <c r="E117" s="2" t="s">
        <v>404</v>
      </c>
      <c r="F117" s="2" t="s">
        <v>405</v>
      </c>
      <c r="G117" s="2">
        <v>6</v>
      </c>
      <c r="H117" t="s">
        <v>28</v>
      </c>
      <c r="I117" t="s">
        <v>349</v>
      </c>
      <c r="J117" t="s">
        <v>29</v>
      </c>
      <c r="K117">
        <v>211</v>
      </c>
      <c r="L117" s="6">
        <v>69000</v>
      </c>
      <c r="M117" s="6">
        <v>55000</v>
      </c>
      <c r="N117" s="6">
        <f t="shared" si="11"/>
        <v>53000</v>
      </c>
      <c r="O117" s="6">
        <f t="shared" si="12"/>
        <v>49290</v>
      </c>
      <c r="P117" s="4">
        <f t="shared" si="9"/>
        <v>0.28565217391304343</v>
      </c>
      <c r="Q117" s="12">
        <f t="shared" si="8"/>
        <v>49290</v>
      </c>
      <c r="R117" s="13">
        <f t="shared" si="10"/>
        <v>0.28565217391304343</v>
      </c>
      <c r="S117" s="2"/>
      <c r="T117"/>
    </row>
    <row r="118" spans="2:20">
      <c r="B118" s="2">
        <v>49</v>
      </c>
      <c r="C118" s="2">
        <v>26</v>
      </c>
      <c r="D118" s="2">
        <v>2</v>
      </c>
      <c r="E118" s="2" t="s">
        <v>454</v>
      </c>
      <c r="F118" s="2" t="s">
        <v>455</v>
      </c>
      <c r="G118" s="2">
        <v>0.5</v>
      </c>
      <c r="H118" t="s">
        <v>90</v>
      </c>
      <c r="I118" t="s">
        <v>427</v>
      </c>
      <c r="J118" t="s">
        <v>89</v>
      </c>
      <c r="K118">
        <v>878</v>
      </c>
      <c r="L118" s="6">
        <v>35000</v>
      </c>
      <c r="M118" s="6">
        <v>15000</v>
      </c>
      <c r="P118" s="4">
        <f t="shared" si="9"/>
        <v>1</v>
      </c>
      <c r="Q118" s="12">
        <f t="shared" ref="Q118:Q137" si="13">M118</f>
        <v>15000</v>
      </c>
      <c r="R118" s="13">
        <f t="shared" si="10"/>
        <v>0.5714285714285714</v>
      </c>
    </row>
    <row r="119" spans="2:20">
      <c r="B119" s="2">
        <v>49</v>
      </c>
      <c r="C119" s="2">
        <v>26</v>
      </c>
      <c r="D119" s="2">
        <v>2</v>
      </c>
      <c r="E119" s="2" t="s">
        <v>454</v>
      </c>
      <c r="F119" s="2" t="s">
        <v>455</v>
      </c>
      <c r="G119" s="2">
        <v>0.5</v>
      </c>
      <c r="H119" t="s">
        <v>90</v>
      </c>
      <c r="I119" t="s">
        <v>428</v>
      </c>
      <c r="J119" t="s">
        <v>89</v>
      </c>
      <c r="K119">
        <v>779</v>
      </c>
      <c r="L119" s="6">
        <v>35000</v>
      </c>
      <c r="M119" s="6">
        <v>15000</v>
      </c>
      <c r="P119" s="4">
        <f t="shared" si="9"/>
        <v>1</v>
      </c>
      <c r="Q119" s="12">
        <f t="shared" si="13"/>
        <v>15000</v>
      </c>
      <c r="R119" s="13">
        <f t="shared" si="10"/>
        <v>0.5714285714285714</v>
      </c>
    </row>
    <row r="120" spans="2:20">
      <c r="B120" s="2">
        <v>49</v>
      </c>
      <c r="C120" s="2">
        <v>26</v>
      </c>
      <c r="D120" s="2">
        <v>2</v>
      </c>
      <c r="E120" s="2" t="s">
        <v>454</v>
      </c>
      <c r="F120" s="2" t="s">
        <v>455</v>
      </c>
      <c r="G120" s="2">
        <v>0.5</v>
      </c>
      <c r="H120" t="s">
        <v>90</v>
      </c>
      <c r="I120" t="s">
        <v>429</v>
      </c>
      <c r="J120" t="s">
        <v>89</v>
      </c>
      <c r="K120">
        <v>36</v>
      </c>
      <c r="L120" s="6">
        <v>35000</v>
      </c>
      <c r="M120" s="6">
        <v>15000</v>
      </c>
      <c r="P120" s="4">
        <f t="shared" si="9"/>
        <v>1</v>
      </c>
      <c r="Q120" s="12">
        <f t="shared" si="13"/>
        <v>15000</v>
      </c>
      <c r="R120" s="13">
        <f t="shared" si="10"/>
        <v>0.5714285714285714</v>
      </c>
    </row>
    <row r="121" spans="2:20">
      <c r="B121" s="2">
        <v>49</v>
      </c>
      <c r="C121" s="2">
        <v>26</v>
      </c>
      <c r="D121" s="2">
        <v>2</v>
      </c>
      <c r="E121" s="2" t="s">
        <v>454</v>
      </c>
      <c r="F121" s="2" t="s">
        <v>455</v>
      </c>
      <c r="G121" s="2">
        <v>0.5</v>
      </c>
      <c r="H121" t="s">
        <v>90</v>
      </c>
      <c r="I121" t="s">
        <v>430</v>
      </c>
      <c r="J121" t="s">
        <v>89</v>
      </c>
      <c r="K121">
        <v>340</v>
      </c>
      <c r="L121" s="6">
        <v>35000</v>
      </c>
      <c r="M121" s="6">
        <v>15000</v>
      </c>
      <c r="P121" s="4">
        <f t="shared" si="9"/>
        <v>1</v>
      </c>
      <c r="Q121" s="12">
        <f t="shared" si="13"/>
        <v>15000</v>
      </c>
      <c r="R121" s="13">
        <f t="shared" si="10"/>
        <v>0.5714285714285714</v>
      </c>
    </row>
    <row r="122" spans="2:20" s="17" customFormat="1">
      <c r="B122" s="2">
        <v>50</v>
      </c>
      <c r="C122" s="2">
        <v>26</v>
      </c>
      <c r="D122" s="2">
        <v>2</v>
      </c>
      <c r="E122" s="2" t="s">
        <v>454</v>
      </c>
      <c r="F122" s="2" t="s">
        <v>455</v>
      </c>
      <c r="G122" s="2">
        <v>0.5</v>
      </c>
      <c r="H122" t="s">
        <v>79</v>
      </c>
      <c r="I122" t="s">
        <v>431</v>
      </c>
      <c r="J122" t="s">
        <v>80</v>
      </c>
      <c r="K122">
        <v>186</v>
      </c>
      <c r="L122" s="6">
        <v>35000</v>
      </c>
      <c r="M122" s="6">
        <v>15000</v>
      </c>
      <c r="N122"/>
      <c r="O122" s="6"/>
      <c r="P122" s="4">
        <f t="shared" si="9"/>
        <v>1</v>
      </c>
      <c r="Q122" s="12">
        <f t="shared" si="13"/>
        <v>15000</v>
      </c>
      <c r="R122" s="13">
        <f t="shared" si="10"/>
        <v>0.5714285714285714</v>
      </c>
      <c r="S122" s="2"/>
    </row>
    <row r="123" spans="2:20">
      <c r="B123" s="2">
        <v>50</v>
      </c>
      <c r="C123" s="2">
        <v>26</v>
      </c>
      <c r="D123" s="2">
        <v>2</v>
      </c>
      <c r="E123" s="2" t="s">
        <v>454</v>
      </c>
      <c r="F123" s="2" t="s">
        <v>455</v>
      </c>
      <c r="G123" s="2">
        <v>0.5</v>
      </c>
      <c r="H123" t="s">
        <v>79</v>
      </c>
      <c r="I123" t="s">
        <v>432</v>
      </c>
      <c r="J123" t="s">
        <v>80</v>
      </c>
      <c r="K123">
        <v>378</v>
      </c>
      <c r="L123" s="6">
        <v>35000</v>
      </c>
      <c r="M123" s="6">
        <v>15000</v>
      </c>
      <c r="P123" s="4">
        <f t="shared" si="9"/>
        <v>1</v>
      </c>
      <c r="Q123" s="12">
        <f t="shared" si="13"/>
        <v>15000</v>
      </c>
      <c r="R123" s="13">
        <f t="shared" si="10"/>
        <v>0.5714285714285714</v>
      </c>
    </row>
    <row r="124" spans="2:20">
      <c r="B124" s="2">
        <v>50</v>
      </c>
      <c r="C124" s="2">
        <v>26</v>
      </c>
      <c r="D124" s="2">
        <v>2</v>
      </c>
      <c r="E124" s="2" t="s">
        <v>454</v>
      </c>
      <c r="F124" s="2" t="s">
        <v>455</v>
      </c>
      <c r="G124" s="2">
        <v>0.5</v>
      </c>
      <c r="H124" t="s">
        <v>79</v>
      </c>
      <c r="I124" t="s">
        <v>433</v>
      </c>
      <c r="J124" t="s">
        <v>80</v>
      </c>
      <c r="K124">
        <v>200</v>
      </c>
      <c r="L124" s="6">
        <v>35000</v>
      </c>
      <c r="M124" s="6">
        <v>15000</v>
      </c>
      <c r="P124" s="4">
        <f t="shared" si="9"/>
        <v>1</v>
      </c>
      <c r="Q124" s="12">
        <f t="shared" si="13"/>
        <v>15000</v>
      </c>
      <c r="R124" s="13">
        <f t="shared" si="10"/>
        <v>0.5714285714285714</v>
      </c>
    </row>
    <row r="125" spans="2:20">
      <c r="B125" s="2">
        <v>51</v>
      </c>
      <c r="C125" s="2">
        <v>26</v>
      </c>
      <c r="D125" s="2">
        <v>2</v>
      </c>
      <c r="E125" s="2" t="s">
        <v>454</v>
      </c>
      <c r="F125" s="2" t="s">
        <v>455</v>
      </c>
      <c r="G125" s="2">
        <v>0.5</v>
      </c>
      <c r="H125" t="s">
        <v>63</v>
      </c>
      <c r="I125" t="s">
        <v>434</v>
      </c>
      <c r="J125" t="s">
        <v>62</v>
      </c>
      <c r="K125">
        <v>77</v>
      </c>
      <c r="L125" s="6">
        <v>35000</v>
      </c>
      <c r="M125" s="6">
        <v>15000</v>
      </c>
      <c r="P125" s="4">
        <f t="shared" si="9"/>
        <v>1</v>
      </c>
      <c r="Q125" s="12">
        <f t="shared" si="13"/>
        <v>15000</v>
      </c>
      <c r="R125" s="13">
        <f t="shared" si="10"/>
        <v>0.5714285714285714</v>
      </c>
    </row>
    <row r="126" spans="2:20">
      <c r="B126" s="2">
        <v>51</v>
      </c>
      <c r="C126" s="2">
        <v>26</v>
      </c>
      <c r="D126" s="2">
        <v>2</v>
      </c>
      <c r="E126" s="2" t="s">
        <v>454</v>
      </c>
      <c r="F126" s="2" t="s">
        <v>455</v>
      </c>
      <c r="G126" s="2">
        <v>0.5</v>
      </c>
      <c r="H126" t="s">
        <v>63</v>
      </c>
      <c r="I126" t="s">
        <v>435</v>
      </c>
      <c r="J126" t="s">
        <v>62</v>
      </c>
      <c r="K126">
        <v>445</v>
      </c>
      <c r="L126" s="6">
        <v>35000</v>
      </c>
      <c r="M126" s="6">
        <v>15000</v>
      </c>
      <c r="P126" s="4">
        <f t="shared" si="9"/>
        <v>1</v>
      </c>
      <c r="Q126" s="12">
        <f t="shared" si="13"/>
        <v>15000</v>
      </c>
      <c r="R126" s="13">
        <f t="shared" si="10"/>
        <v>0.5714285714285714</v>
      </c>
    </row>
    <row r="127" spans="2:20">
      <c r="B127" s="2">
        <v>52</v>
      </c>
      <c r="C127" s="2">
        <v>26</v>
      </c>
      <c r="D127" s="2">
        <v>2</v>
      </c>
      <c r="E127" s="2" t="s">
        <v>454</v>
      </c>
      <c r="F127" s="2" t="s">
        <v>455</v>
      </c>
      <c r="G127" s="2">
        <v>0.5</v>
      </c>
      <c r="H127" t="s">
        <v>86</v>
      </c>
      <c r="I127" t="s">
        <v>436</v>
      </c>
      <c r="J127" t="s">
        <v>85</v>
      </c>
      <c r="K127">
        <v>613</v>
      </c>
      <c r="L127" s="6">
        <v>32000</v>
      </c>
      <c r="M127" s="6">
        <v>15000</v>
      </c>
      <c r="N127" s="6"/>
      <c r="P127" s="4">
        <f t="shared" si="9"/>
        <v>1</v>
      </c>
      <c r="Q127" s="12">
        <f t="shared" si="13"/>
        <v>15000</v>
      </c>
      <c r="R127" s="13">
        <f t="shared" si="10"/>
        <v>0.53125</v>
      </c>
    </row>
    <row r="128" spans="2:20">
      <c r="B128" s="2">
        <v>52</v>
      </c>
      <c r="C128" s="2">
        <v>26</v>
      </c>
      <c r="D128" s="2">
        <v>2</v>
      </c>
      <c r="E128" s="2" t="s">
        <v>454</v>
      </c>
      <c r="F128" s="2" t="s">
        <v>455</v>
      </c>
      <c r="G128" s="2">
        <v>0.5</v>
      </c>
      <c r="H128" t="s">
        <v>86</v>
      </c>
      <c r="I128" t="s">
        <v>437</v>
      </c>
      <c r="J128" t="s">
        <v>85</v>
      </c>
      <c r="K128">
        <v>443</v>
      </c>
      <c r="L128" s="6">
        <v>32000</v>
      </c>
      <c r="M128" s="6">
        <v>15000</v>
      </c>
      <c r="N128" s="6"/>
      <c r="P128" s="4">
        <f t="shared" si="9"/>
        <v>1</v>
      </c>
      <c r="Q128" s="12">
        <f t="shared" si="13"/>
        <v>15000</v>
      </c>
      <c r="R128" s="13">
        <f t="shared" si="10"/>
        <v>0.53125</v>
      </c>
    </row>
    <row r="129" spans="2:20">
      <c r="B129" s="2">
        <v>52</v>
      </c>
      <c r="C129" s="2">
        <v>26</v>
      </c>
      <c r="D129" s="2">
        <v>2</v>
      </c>
      <c r="E129" s="2" t="s">
        <v>454</v>
      </c>
      <c r="F129" s="2" t="s">
        <v>455</v>
      </c>
      <c r="G129" s="2">
        <v>0.5</v>
      </c>
      <c r="H129" t="s">
        <v>86</v>
      </c>
      <c r="I129" t="s">
        <v>438</v>
      </c>
      <c r="J129" t="s">
        <v>85</v>
      </c>
      <c r="K129">
        <v>612</v>
      </c>
      <c r="L129" s="6">
        <v>32000</v>
      </c>
      <c r="M129" s="6">
        <v>15000</v>
      </c>
      <c r="N129" s="6"/>
      <c r="P129" s="4">
        <f t="shared" si="9"/>
        <v>1</v>
      </c>
      <c r="Q129" s="12">
        <f t="shared" si="13"/>
        <v>15000</v>
      </c>
      <c r="R129" s="13">
        <f t="shared" si="10"/>
        <v>0.53125</v>
      </c>
    </row>
    <row r="130" spans="2:20">
      <c r="B130" s="2">
        <v>53</v>
      </c>
      <c r="C130" s="2">
        <v>26</v>
      </c>
      <c r="D130" s="2">
        <v>2</v>
      </c>
      <c r="E130" s="2" t="s">
        <v>454</v>
      </c>
      <c r="F130" s="2" t="s">
        <v>455</v>
      </c>
      <c r="G130" s="2">
        <v>0.5</v>
      </c>
      <c r="H130" t="s">
        <v>92</v>
      </c>
      <c r="I130" t="s">
        <v>439</v>
      </c>
      <c r="J130" t="s">
        <v>91</v>
      </c>
      <c r="K130">
        <v>1071</v>
      </c>
      <c r="L130" s="6">
        <v>35000</v>
      </c>
      <c r="M130" s="6">
        <v>15000</v>
      </c>
      <c r="N130" s="6"/>
      <c r="P130" s="4">
        <f t="shared" si="9"/>
        <v>1</v>
      </c>
      <c r="Q130" s="12">
        <f t="shared" si="13"/>
        <v>15000</v>
      </c>
      <c r="R130" s="13">
        <f t="shared" si="10"/>
        <v>0.5714285714285714</v>
      </c>
    </row>
    <row r="131" spans="2:20">
      <c r="B131" s="2">
        <v>53</v>
      </c>
      <c r="C131" s="2">
        <v>26</v>
      </c>
      <c r="D131" s="2">
        <v>2</v>
      </c>
      <c r="E131" s="2" t="s">
        <v>454</v>
      </c>
      <c r="F131" s="2" t="s">
        <v>455</v>
      </c>
      <c r="G131" s="2">
        <v>0.5</v>
      </c>
      <c r="H131" t="s">
        <v>92</v>
      </c>
      <c r="I131" t="s">
        <v>440</v>
      </c>
      <c r="J131" t="s">
        <v>91</v>
      </c>
      <c r="K131">
        <v>273</v>
      </c>
      <c r="L131" s="6">
        <v>35000</v>
      </c>
      <c r="M131" s="6">
        <v>15000</v>
      </c>
      <c r="N131" s="6"/>
      <c r="P131" s="4">
        <f t="shared" si="9"/>
        <v>1</v>
      </c>
      <c r="Q131" s="12">
        <f t="shared" si="13"/>
        <v>15000</v>
      </c>
      <c r="R131" s="13">
        <f t="shared" si="10"/>
        <v>0.5714285714285714</v>
      </c>
    </row>
    <row r="132" spans="2:20">
      <c r="B132" s="2">
        <v>53</v>
      </c>
      <c r="C132" s="2">
        <v>26</v>
      </c>
      <c r="D132" s="2">
        <v>2</v>
      </c>
      <c r="E132" s="2" t="s">
        <v>454</v>
      </c>
      <c r="F132" s="2" t="s">
        <v>455</v>
      </c>
      <c r="G132" s="2">
        <v>0.5</v>
      </c>
      <c r="H132" t="s">
        <v>92</v>
      </c>
      <c r="I132" t="s">
        <v>441</v>
      </c>
      <c r="J132" t="s">
        <v>91</v>
      </c>
      <c r="K132">
        <v>592</v>
      </c>
      <c r="L132" s="6">
        <v>35000</v>
      </c>
      <c r="M132" s="6">
        <v>15000</v>
      </c>
      <c r="N132" s="6"/>
      <c r="P132" s="4">
        <f t="shared" si="9"/>
        <v>1</v>
      </c>
      <c r="Q132" s="12">
        <f t="shared" si="13"/>
        <v>15000</v>
      </c>
      <c r="R132" s="13">
        <f t="shared" si="10"/>
        <v>0.5714285714285714</v>
      </c>
    </row>
    <row r="133" spans="2:20">
      <c r="B133" s="2">
        <v>53</v>
      </c>
      <c r="C133" s="2">
        <v>26</v>
      </c>
      <c r="D133" s="2">
        <v>2</v>
      </c>
      <c r="E133" s="2" t="s">
        <v>454</v>
      </c>
      <c r="F133" s="2" t="s">
        <v>455</v>
      </c>
      <c r="G133" s="2">
        <v>0.5</v>
      </c>
      <c r="H133" t="s">
        <v>92</v>
      </c>
      <c r="I133" t="s">
        <v>442</v>
      </c>
      <c r="J133" t="s">
        <v>91</v>
      </c>
      <c r="K133">
        <v>815</v>
      </c>
      <c r="L133" s="6">
        <v>35000</v>
      </c>
      <c r="M133" s="6">
        <v>15000</v>
      </c>
      <c r="N133" s="6"/>
      <c r="P133" s="4">
        <f t="shared" si="9"/>
        <v>1</v>
      </c>
      <c r="Q133" s="12">
        <f t="shared" si="13"/>
        <v>15000</v>
      </c>
      <c r="R133" s="13">
        <f t="shared" si="10"/>
        <v>0.5714285714285714</v>
      </c>
    </row>
    <row r="134" spans="2:20">
      <c r="B134" s="2">
        <v>53</v>
      </c>
      <c r="C134" s="2">
        <v>26</v>
      </c>
      <c r="D134" s="2">
        <v>2</v>
      </c>
      <c r="E134" s="2" t="s">
        <v>454</v>
      </c>
      <c r="F134" s="2" t="s">
        <v>455</v>
      </c>
      <c r="G134" s="2">
        <v>0.5</v>
      </c>
      <c r="H134" t="s">
        <v>92</v>
      </c>
      <c r="I134" t="s">
        <v>443</v>
      </c>
      <c r="J134" t="s">
        <v>91</v>
      </c>
      <c r="K134">
        <v>824</v>
      </c>
      <c r="L134" s="6">
        <v>35000</v>
      </c>
      <c r="M134" s="6">
        <v>15000</v>
      </c>
      <c r="N134" s="6"/>
      <c r="P134" s="4">
        <f t="shared" si="9"/>
        <v>1</v>
      </c>
      <c r="Q134" s="12">
        <f t="shared" si="13"/>
        <v>15000</v>
      </c>
      <c r="R134" s="13">
        <f t="shared" si="10"/>
        <v>0.5714285714285714</v>
      </c>
    </row>
    <row r="135" spans="2:20">
      <c r="B135" s="2">
        <v>54</v>
      </c>
      <c r="C135" s="2">
        <v>26</v>
      </c>
      <c r="D135" s="2">
        <v>2</v>
      </c>
      <c r="E135" s="2" t="s">
        <v>454</v>
      </c>
      <c r="F135" s="2" t="s">
        <v>455</v>
      </c>
      <c r="G135" s="2">
        <v>0.5</v>
      </c>
      <c r="H135" t="s">
        <v>37</v>
      </c>
      <c r="I135" t="s">
        <v>444</v>
      </c>
      <c r="J135" t="s">
        <v>36</v>
      </c>
      <c r="K135">
        <v>705</v>
      </c>
      <c r="L135" s="6">
        <v>39000</v>
      </c>
      <c r="M135" s="6">
        <v>15000</v>
      </c>
      <c r="N135" s="6"/>
      <c r="P135" s="4">
        <f t="shared" si="9"/>
        <v>1</v>
      </c>
      <c r="Q135" s="12">
        <f t="shared" si="13"/>
        <v>15000</v>
      </c>
      <c r="R135" s="13">
        <f t="shared" si="10"/>
        <v>0.61538461538461542</v>
      </c>
    </row>
    <row r="136" spans="2:20">
      <c r="B136" s="2">
        <v>54</v>
      </c>
      <c r="C136" s="2">
        <v>26</v>
      </c>
      <c r="D136" s="2">
        <v>2</v>
      </c>
      <c r="E136" s="2" t="s">
        <v>454</v>
      </c>
      <c r="F136" s="2" t="s">
        <v>455</v>
      </c>
      <c r="G136" s="2">
        <v>0.5</v>
      </c>
      <c r="H136" t="s">
        <v>37</v>
      </c>
      <c r="I136" t="s">
        <v>445</v>
      </c>
      <c r="J136" t="s">
        <v>36</v>
      </c>
      <c r="K136">
        <v>531</v>
      </c>
      <c r="L136" s="6">
        <v>39000</v>
      </c>
      <c r="M136" s="6">
        <v>15000</v>
      </c>
      <c r="N136" s="6"/>
      <c r="P136" s="4">
        <f t="shared" si="9"/>
        <v>1</v>
      </c>
      <c r="Q136" s="12">
        <f t="shared" si="13"/>
        <v>15000</v>
      </c>
      <c r="R136" s="13">
        <f t="shared" si="10"/>
        <v>0.61538461538461542</v>
      </c>
    </row>
    <row r="137" spans="2:20">
      <c r="B137" s="2">
        <v>54</v>
      </c>
      <c r="C137" s="2">
        <v>26</v>
      </c>
      <c r="D137" s="2">
        <v>2</v>
      </c>
      <c r="E137" s="2" t="s">
        <v>454</v>
      </c>
      <c r="F137" s="2" t="s">
        <v>455</v>
      </c>
      <c r="G137" s="2">
        <v>0.5</v>
      </c>
      <c r="H137" t="s">
        <v>37</v>
      </c>
      <c r="I137" t="s">
        <v>446</v>
      </c>
      <c r="J137" t="s">
        <v>36</v>
      </c>
      <c r="K137">
        <v>445</v>
      </c>
      <c r="L137" s="6">
        <v>39000</v>
      </c>
      <c r="M137" s="6">
        <v>15000</v>
      </c>
      <c r="N137" s="6"/>
      <c r="P137" s="4">
        <f t="shared" ref="P137:P200" si="14">1-O137/L137</f>
        <v>1</v>
      </c>
      <c r="Q137" s="12">
        <f t="shared" si="13"/>
        <v>15000</v>
      </c>
      <c r="R137" s="13">
        <f t="shared" ref="R137:R200" si="15">1-Q137/L137</f>
        <v>0.61538461538461542</v>
      </c>
    </row>
    <row r="138" spans="2:20">
      <c r="B138" s="2">
        <v>55</v>
      </c>
      <c r="C138" s="2">
        <v>26</v>
      </c>
      <c r="D138" s="2">
        <v>2</v>
      </c>
      <c r="E138" s="2" t="s">
        <v>454</v>
      </c>
      <c r="F138" s="2" t="s">
        <v>455</v>
      </c>
      <c r="G138" s="2">
        <v>0.5</v>
      </c>
      <c r="H138" t="s">
        <v>47</v>
      </c>
      <c r="I138" t="s">
        <v>447</v>
      </c>
      <c r="J138" t="s">
        <v>46</v>
      </c>
      <c r="K138">
        <v>487</v>
      </c>
      <c r="L138" s="6">
        <v>39000</v>
      </c>
      <c r="M138" s="6">
        <v>15000</v>
      </c>
      <c r="N138" s="6"/>
      <c r="P138" s="4">
        <f t="shared" si="14"/>
        <v>1</v>
      </c>
      <c r="Q138" s="12">
        <f t="shared" ref="Q138:Q159" si="16">M138</f>
        <v>15000</v>
      </c>
      <c r="R138" s="13">
        <f t="shared" si="15"/>
        <v>0.61538461538461542</v>
      </c>
    </row>
    <row r="139" spans="2:20">
      <c r="B139" s="2">
        <v>55</v>
      </c>
      <c r="C139" s="2">
        <v>26</v>
      </c>
      <c r="D139" s="2">
        <v>2</v>
      </c>
      <c r="E139" s="2" t="s">
        <v>454</v>
      </c>
      <c r="F139" s="2" t="s">
        <v>455</v>
      </c>
      <c r="G139" s="2">
        <v>0.5</v>
      </c>
      <c r="H139" t="s">
        <v>47</v>
      </c>
      <c r="I139" t="s">
        <v>448</v>
      </c>
      <c r="J139" t="s">
        <v>46</v>
      </c>
      <c r="K139">
        <v>322</v>
      </c>
      <c r="L139" s="6">
        <v>39000</v>
      </c>
      <c r="M139" s="6">
        <v>15000</v>
      </c>
      <c r="N139" s="6"/>
      <c r="P139" s="4">
        <f t="shared" si="14"/>
        <v>1</v>
      </c>
      <c r="Q139" s="12">
        <f t="shared" si="16"/>
        <v>15000</v>
      </c>
      <c r="R139" s="13">
        <f t="shared" si="15"/>
        <v>0.61538461538461542</v>
      </c>
    </row>
    <row r="140" spans="2:20">
      <c r="B140" s="2">
        <v>55</v>
      </c>
      <c r="C140" s="2">
        <v>26</v>
      </c>
      <c r="D140" s="2">
        <v>2</v>
      </c>
      <c r="E140" s="2" t="s">
        <v>454</v>
      </c>
      <c r="F140" s="2" t="s">
        <v>455</v>
      </c>
      <c r="G140" s="2">
        <v>0.5</v>
      </c>
      <c r="H140" t="s">
        <v>47</v>
      </c>
      <c r="I140" t="s">
        <v>449</v>
      </c>
      <c r="J140" t="s">
        <v>46</v>
      </c>
      <c r="K140">
        <v>264</v>
      </c>
      <c r="L140" s="6">
        <v>39000</v>
      </c>
      <c r="M140" s="6">
        <v>15000</v>
      </c>
      <c r="N140" s="6"/>
      <c r="P140" s="4">
        <f t="shared" si="14"/>
        <v>1</v>
      </c>
      <c r="Q140" s="12">
        <f t="shared" si="16"/>
        <v>15000</v>
      </c>
      <c r="R140" s="13">
        <f t="shared" si="15"/>
        <v>0.61538461538461542</v>
      </c>
    </row>
    <row r="141" spans="2:20">
      <c r="B141" s="2">
        <v>56</v>
      </c>
      <c r="C141" s="2">
        <v>26</v>
      </c>
      <c r="D141" s="2">
        <v>2</v>
      </c>
      <c r="E141" s="2" t="s">
        <v>454</v>
      </c>
      <c r="F141" s="2" t="s">
        <v>455</v>
      </c>
      <c r="G141" s="2">
        <v>0.5</v>
      </c>
      <c r="H141" t="s">
        <v>177</v>
      </c>
      <c r="I141" t="s">
        <v>450</v>
      </c>
      <c r="J141" t="s">
        <v>176</v>
      </c>
      <c r="K141">
        <v>520</v>
      </c>
      <c r="L141" s="6">
        <v>39000</v>
      </c>
      <c r="M141" s="6">
        <v>15000</v>
      </c>
      <c r="N141" s="6"/>
      <c r="P141" s="4">
        <f t="shared" si="14"/>
        <v>1</v>
      </c>
      <c r="Q141" s="12">
        <f t="shared" si="16"/>
        <v>15000</v>
      </c>
      <c r="R141" s="13">
        <f t="shared" si="15"/>
        <v>0.61538461538461542</v>
      </c>
    </row>
    <row r="142" spans="2:20">
      <c r="B142" s="2">
        <v>56</v>
      </c>
      <c r="C142" s="2">
        <v>26</v>
      </c>
      <c r="D142" s="2">
        <v>2</v>
      </c>
      <c r="E142" s="2" t="s">
        <v>454</v>
      </c>
      <c r="F142" s="2" t="s">
        <v>455</v>
      </c>
      <c r="G142" s="2">
        <v>0.5</v>
      </c>
      <c r="H142" t="s">
        <v>177</v>
      </c>
      <c r="I142" t="s">
        <v>451</v>
      </c>
      <c r="J142" t="s">
        <v>176</v>
      </c>
      <c r="K142">
        <v>331</v>
      </c>
      <c r="L142" s="6">
        <v>39000</v>
      </c>
      <c r="M142" s="6">
        <v>15000</v>
      </c>
      <c r="N142" s="6"/>
      <c r="P142" s="4">
        <f t="shared" si="14"/>
        <v>1</v>
      </c>
      <c r="Q142" s="12">
        <f t="shared" si="16"/>
        <v>15000</v>
      </c>
      <c r="R142" s="13">
        <f t="shared" si="15"/>
        <v>0.61538461538461542</v>
      </c>
    </row>
    <row r="143" spans="2:20">
      <c r="B143" s="2">
        <v>56</v>
      </c>
      <c r="C143" s="2">
        <v>26</v>
      </c>
      <c r="D143" s="2">
        <v>2</v>
      </c>
      <c r="E143" s="2" t="s">
        <v>454</v>
      </c>
      <c r="F143" s="2" t="s">
        <v>455</v>
      </c>
      <c r="G143" s="2">
        <v>0.5</v>
      </c>
      <c r="H143" t="s">
        <v>177</v>
      </c>
      <c r="I143" t="s">
        <v>452</v>
      </c>
      <c r="J143" t="s">
        <v>176</v>
      </c>
      <c r="K143">
        <v>180</v>
      </c>
      <c r="L143" s="6">
        <v>39000</v>
      </c>
      <c r="M143" s="6">
        <v>15000</v>
      </c>
      <c r="N143" s="6"/>
      <c r="P143" s="4">
        <f t="shared" si="14"/>
        <v>1</v>
      </c>
      <c r="Q143" s="12">
        <f t="shared" si="16"/>
        <v>15000</v>
      </c>
      <c r="R143" s="13">
        <f t="shared" si="15"/>
        <v>0.61538461538461542</v>
      </c>
    </row>
    <row r="144" spans="2:20" s="18" customFormat="1">
      <c r="B144" s="2">
        <v>57</v>
      </c>
      <c r="C144" s="14">
        <v>24</v>
      </c>
      <c r="D144" s="14">
        <v>3</v>
      </c>
      <c r="E144" s="14" t="s">
        <v>191</v>
      </c>
      <c r="F144" s="14" t="s">
        <v>399</v>
      </c>
      <c r="G144" s="14">
        <v>8</v>
      </c>
      <c r="H144" s="18" t="s">
        <v>4</v>
      </c>
      <c r="I144" s="18" t="s">
        <v>213</v>
      </c>
      <c r="J144" s="18" t="s">
        <v>5</v>
      </c>
      <c r="K144">
        <v>36</v>
      </c>
      <c r="L144" s="19">
        <v>119000</v>
      </c>
      <c r="M144" s="19">
        <v>39000</v>
      </c>
      <c r="N144" s="19">
        <f t="shared" ref="N144:N156" si="17">M144-2000</f>
        <v>37000</v>
      </c>
      <c r="O144" s="19">
        <f t="shared" ref="O144:O156" si="18">N144*0.93</f>
        <v>34410</v>
      </c>
      <c r="P144" s="20">
        <f t="shared" si="14"/>
        <v>0.71084033613445374</v>
      </c>
      <c r="Q144" s="12">
        <f t="shared" ref="Q144:Q156" si="19">O144</f>
        <v>34410</v>
      </c>
      <c r="R144" s="16">
        <f t="shared" si="15"/>
        <v>0.71084033613445374</v>
      </c>
      <c r="S144" s="14"/>
      <c r="T144"/>
    </row>
    <row r="145" spans="2:20" s="18" customFormat="1">
      <c r="B145" s="2">
        <v>58</v>
      </c>
      <c r="C145" s="14">
        <v>24</v>
      </c>
      <c r="D145" s="14">
        <v>3</v>
      </c>
      <c r="E145" s="14" t="s">
        <v>191</v>
      </c>
      <c r="F145" s="14" t="s">
        <v>399</v>
      </c>
      <c r="G145" s="14">
        <v>8</v>
      </c>
      <c r="H145" s="18" t="s">
        <v>6</v>
      </c>
      <c r="I145" s="18" t="s">
        <v>214</v>
      </c>
      <c r="J145" s="18" t="s">
        <v>7</v>
      </c>
      <c r="K145">
        <v>44</v>
      </c>
      <c r="L145" s="19">
        <v>109000</v>
      </c>
      <c r="M145" s="19">
        <v>39000</v>
      </c>
      <c r="N145" s="19">
        <f t="shared" si="17"/>
        <v>37000</v>
      </c>
      <c r="O145" s="19">
        <f t="shared" si="18"/>
        <v>34410</v>
      </c>
      <c r="P145" s="20">
        <f t="shared" si="14"/>
        <v>0.68431192660550466</v>
      </c>
      <c r="Q145" s="12">
        <f t="shared" si="19"/>
        <v>34410</v>
      </c>
      <c r="R145" s="16">
        <f t="shared" si="15"/>
        <v>0.68431192660550466</v>
      </c>
      <c r="S145" s="14"/>
      <c r="T145"/>
    </row>
    <row r="146" spans="2:20" s="18" customFormat="1">
      <c r="B146" s="2">
        <v>58</v>
      </c>
      <c r="C146" s="14">
        <v>24</v>
      </c>
      <c r="D146" s="14">
        <v>3</v>
      </c>
      <c r="E146" s="14" t="s">
        <v>191</v>
      </c>
      <c r="F146" s="14" t="s">
        <v>399</v>
      </c>
      <c r="G146" s="14">
        <v>8</v>
      </c>
      <c r="H146" s="18" t="s">
        <v>6</v>
      </c>
      <c r="I146" s="18" t="s">
        <v>215</v>
      </c>
      <c r="J146" s="18" t="s">
        <v>7</v>
      </c>
      <c r="K146">
        <v>65</v>
      </c>
      <c r="L146" s="19">
        <v>109000</v>
      </c>
      <c r="M146" s="19">
        <v>39000</v>
      </c>
      <c r="N146" s="19">
        <f t="shared" si="17"/>
        <v>37000</v>
      </c>
      <c r="O146" s="19">
        <f t="shared" si="18"/>
        <v>34410</v>
      </c>
      <c r="P146" s="20">
        <f t="shared" si="14"/>
        <v>0.68431192660550466</v>
      </c>
      <c r="Q146" s="12">
        <f t="shared" si="19"/>
        <v>34410</v>
      </c>
      <c r="R146" s="16">
        <f t="shared" si="15"/>
        <v>0.68431192660550466</v>
      </c>
      <c r="S146" s="14"/>
      <c r="T146"/>
    </row>
    <row r="147" spans="2:20" s="18" customFormat="1">
      <c r="B147" s="2">
        <v>59</v>
      </c>
      <c r="C147" s="14">
        <v>23</v>
      </c>
      <c r="D147" s="14">
        <v>3</v>
      </c>
      <c r="E147" s="14" t="s">
        <v>387</v>
      </c>
      <c r="F147" s="14" t="s">
        <v>388</v>
      </c>
      <c r="G147" s="14">
        <v>9</v>
      </c>
      <c r="H147" s="18" t="s">
        <v>133</v>
      </c>
      <c r="I147" s="18" t="s">
        <v>195</v>
      </c>
      <c r="J147" s="18" t="s">
        <v>134</v>
      </c>
      <c r="K147">
        <v>45</v>
      </c>
      <c r="L147" s="19">
        <v>79000</v>
      </c>
      <c r="M147" s="19">
        <v>27000</v>
      </c>
      <c r="N147" s="19">
        <f t="shared" si="17"/>
        <v>25000</v>
      </c>
      <c r="O147" s="19">
        <f t="shared" si="18"/>
        <v>23250</v>
      </c>
      <c r="P147" s="20">
        <f t="shared" si="14"/>
        <v>0.70569620253164556</v>
      </c>
      <c r="Q147" s="12">
        <f t="shared" si="19"/>
        <v>23250</v>
      </c>
      <c r="R147" s="16">
        <f t="shared" si="15"/>
        <v>0.70569620253164556</v>
      </c>
      <c r="S147" s="14"/>
      <c r="T147"/>
    </row>
    <row r="148" spans="2:20">
      <c r="B148" s="2">
        <v>60</v>
      </c>
      <c r="C148" s="14">
        <v>24</v>
      </c>
      <c r="D148" s="14">
        <v>1</v>
      </c>
      <c r="E148" s="14" t="s">
        <v>389</v>
      </c>
      <c r="F148" s="14" t="s">
        <v>390</v>
      </c>
      <c r="G148" s="14">
        <v>10</v>
      </c>
      <c r="H148" s="18" t="s">
        <v>77</v>
      </c>
      <c r="I148" s="18" t="s">
        <v>197</v>
      </c>
      <c r="J148" s="18" t="s">
        <v>78</v>
      </c>
      <c r="K148">
        <v>85</v>
      </c>
      <c r="L148" s="19">
        <v>119000</v>
      </c>
      <c r="M148" s="19">
        <v>42000</v>
      </c>
      <c r="N148" s="19">
        <f t="shared" si="17"/>
        <v>40000</v>
      </c>
      <c r="O148" s="19">
        <f t="shared" si="18"/>
        <v>37200</v>
      </c>
      <c r="P148" s="20">
        <f t="shared" si="14"/>
        <v>0.68739495798319328</v>
      </c>
      <c r="Q148" s="12">
        <f t="shared" si="19"/>
        <v>37200</v>
      </c>
      <c r="R148" s="16">
        <f t="shared" si="15"/>
        <v>0.68739495798319328</v>
      </c>
      <c r="S148" s="14"/>
    </row>
    <row r="149" spans="2:20">
      <c r="B149" s="2">
        <v>60</v>
      </c>
      <c r="C149" s="14">
        <v>24</v>
      </c>
      <c r="D149" s="14">
        <v>1</v>
      </c>
      <c r="E149" s="14" t="s">
        <v>389</v>
      </c>
      <c r="F149" s="14" t="s">
        <v>390</v>
      </c>
      <c r="G149" s="14">
        <v>10</v>
      </c>
      <c r="H149" s="18" t="s">
        <v>77</v>
      </c>
      <c r="I149" s="18" t="s">
        <v>198</v>
      </c>
      <c r="J149" s="18" t="s">
        <v>78</v>
      </c>
      <c r="K149">
        <v>163</v>
      </c>
      <c r="L149" s="19">
        <v>119000</v>
      </c>
      <c r="M149" s="19">
        <v>42000</v>
      </c>
      <c r="N149" s="19">
        <f t="shared" si="17"/>
        <v>40000</v>
      </c>
      <c r="O149" s="19">
        <f t="shared" si="18"/>
        <v>37200</v>
      </c>
      <c r="P149" s="20">
        <f t="shared" si="14"/>
        <v>0.68739495798319328</v>
      </c>
      <c r="Q149" s="12">
        <f t="shared" si="19"/>
        <v>37200</v>
      </c>
      <c r="R149" s="16">
        <f t="shared" si="15"/>
        <v>0.68739495798319328</v>
      </c>
      <c r="S149" s="14"/>
    </row>
    <row r="150" spans="2:20" s="18" customFormat="1">
      <c r="B150" s="2">
        <v>61</v>
      </c>
      <c r="C150" s="2">
        <v>26</v>
      </c>
      <c r="D150" s="2">
        <v>1</v>
      </c>
      <c r="E150" s="2" t="s">
        <v>389</v>
      </c>
      <c r="F150" s="2" t="s">
        <v>390</v>
      </c>
      <c r="G150" s="2">
        <v>10</v>
      </c>
      <c r="H150" t="s">
        <v>174</v>
      </c>
      <c r="I150" t="s">
        <v>332</v>
      </c>
      <c r="J150" t="s">
        <v>175</v>
      </c>
      <c r="K150">
        <v>54</v>
      </c>
      <c r="L150" s="6">
        <v>109000</v>
      </c>
      <c r="M150" s="6">
        <v>59000</v>
      </c>
      <c r="N150" s="6">
        <f t="shared" si="17"/>
        <v>57000</v>
      </c>
      <c r="O150" s="6">
        <f t="shared" si="18"/>
        <v>53010</v>
      </c>
      <c r="P150" s="4">
        <f t="shared" si="14"/>
        <v>0.51366972477064221</v>
      </c>
      <c r="Q150" s="12">
        <f t="shared" si="19"/>
        <v>53010</v>
      </c>
      <c r="R150" s="13">
        <f t="shared" si="15"/>
        <v>0.51366972477064221</v>
      </c>
      <c r="S150" s="2"/>
      <c r="T150"/>
    </row>
    <row r="151" spans="2:20" s="18" customFormat="1">
      <c r="B151" s="2">
        <v>61</v>
      </c>
      <c r="C151" s="2">
        <v>26</v>
      </c>
      <c r="D151" s="2">
        <v>1</v>
      </c>
      <c r="E151" s="2" t="s">
        <v>389</v>
      </c>
      <c r="F151" s="2" t="s">
        <v>390</v>
      </c>
      <c r="G151" s="2">
        <v>10</v>
      </c>
      <c r="H151" t="s">
        <v>174</v>
      </c>
      <c r="I151" t="s">
        <v>333</v>
      </c>
      <c r="J151" t="s">
        <v>175</v>
      </c>
      <c r="K151">
        <v>47</v>
      </c>
      <c r="L151" s="6">
        <v>109000</v>
      </c>
      <c r="M151" s="6">
        <v>59000</v>
      </c>
      <c r="N151" s="6">
        <f t="shared" si="17"/>
        <v>57000</v>
      </c>
      <c r="O151" s="6">
        <f t="shared" si="18"/>
        <v>53010</v>
      </c>
      <c r="P151" s="4">
        <f t="shared" si="14"/>
        <v>0.51366972477064221</v>
      </c>
      <c r="Q151" s="12">
        <f t="shared" si="19"/>
        <v>53010</v>
      </c>
      <c r="R151" s="13">
        <f t="shared" si="15"/>
        <v>0.51366972477064221</v>
      </c>
      <c r="S151" s="2"/>
      <c r="T151"/>
    </row>
    <row r="152" spans="2:20">
      <c r="B152" s="2">
        <v>62</v>
      </c>
      <c r="C152" s="14">
        <v>23</v>
      </c>
      <c r="D152" s="14">
        <v>3</v>
      </c>
      <c r="E152" s="14" t="s">
        <v>389</v>
      </c>
      <c r="F152" s="14" t="s">
        <v>390</v>
      </c>
      <c r="G152" s="14">
        <v>10</v>
      </c>
      <c r="H152" s="18" t="s">
        <v>56</v>
      </c>
      <c r="I152" s="18" t="s">
        <v>196</v>
      </c>
      <c r="J152" s="18" t="s">
        <v>57</v>
      </c>
      <c r="K152">
        <v>60</v>
      </c>
      <c r="L152" s="19">
        <v>89000</v>
      </c>
      <c r="M152" s="19">
        <v>42000</v>
      </c>
      <c r="N152" s="19">
        <f t="shared" si="17"/>
        <v>40000</v>
      </c>
      <c r="O152" s="19">
        <f t="shared" si="18"/>
        <v>37200</v>
      </c>
      <c r="P152" s="20">
        <f t="shared" si="14"/>
        <v>0.58202247191011236</v>
      </c>
      <c r="Q152" s="12">
        <f t="shared" si="19"/>
        <v>37200</v>
      </c>
      <c r="R152" s="16">
        <f t="shared" si="15"/>
        <v>0.58202247191011236</v>
      </c>
      <c r="S152" s="14"/>
    </row>
    <row r="153" spans="2:20">
      <c r="B153" s="2">
        <v>63</v>
      </c>
      <c r="C153" s="14">
        <v>24</v>
      </c>
      <c r="D153" s="14">
        <v>3</v>
      </c>
      <c r="E153" s="14" t="s">
        <v>389</v>
      </c>
      <c r="F153" s="14" t="s">
        <v>390</v>
      </c>
      <c r="G153" s="14">
        <v>10</v>
      </c>
      <c r="H153" s="18" t="s">
        <v>19</v>
      </c>
      <c r="I153" s="18" t="s">
        <v>212</v>
      </c>
      <c r="J153" s="18" t="s">
        <v>20</v>
      </c>
      <c r="K153">
        <v>51</v>
      </c>
      <c r="L153" s="19">
        <v>119000</v>
      </c>
      <c r="M153" s="19">
        <v>42000</v>
      </c>
      <c r="N153" s="19">
        <f t="shared" si="17"/>
        <v>40000</v>
      </c>
      <c r="O153" s="19">
        <f t="shared" si="18"/>
        <v>37200</v>
      </c>
      <c r="P153" s="20">
        <f t="shared" si="14"/>
        <v>0.68739495798319328</v>
      </c>
      <c r="Q153" s="12">
        <f t="shared" si="19"/>
        <v>37200</v>
      </c>
      <c r="R153" s="16">
        <f t="shared" si="15"/>
        <v>0.68739495798319328</v>
      </c>
      <c r="S153" s="14"/>
    </row>
    <row r="154" spans="2:20">
      <c r="B154" s="2">
        <v>64</v>
      </c>
      <c r="C154" s="2">
        <v>26</v>
      </c>
      <c r="D154">
        <v>2</v>
      </c>
      <c r="E154" s="2" t="s">
        <v>453</v>
      </c>
      <c r="F154" s="2" t="s">
        <v>459</v>
      </c>
      <c r="G154" s="2">
        <v>12</v>
      </c>
      <c r="H154" t="str">
        <f t="shared" ref="H154:H159" si="20">LEFT(I154,10)</f>
        <v>OD262BHP01</v>
      </c>
      <c r="I154" t="s">
        <v>424</v>
      </c>
      <c r="J154" s="6" t="s">
        <v>9</v>
      </c>
      <c r="K154">
        <v>42</v>
      </c>
      <c r="L154" s="6">
        <v>59000</v>
      </c>
      <c r="M154" s="6">
        <v>27000</v>
      </c>
      <c r="N154" s="6">
        <f t="shared" si="17"/>
        <v>25000</v>
      </c>
      <c r="O154" s="6">
        <f t="shared" si="18"/>
        <v>23250</v>
      </c>
      <c r="P154" s="4">
        <f t="shared" si="14"/>
        <v>0.60593220338983045</v>
      </c>
      <c r="Q154" s="12">
        <f t="shared" si="19"/>
        <v>23250</v>
      </c>
      <c r="R154" s="13">
        <f t="shared" si="15"/>
        <v>0.60593220338983045</v>
      </c>
    </row>
    <row r="155" spans="2:20">
      <c r="B155" s="2">
        <v>64</v>
      </c>
      <c r="C155" s="2">
        <v>26</v>
      </c>
      <c r="D155">
        <v>2</v>
      </c>
      <c r="E155" s="2" t="s">
        <v>453</v>
      </c>
      <c r="F155" s="2" t="s">
        <v>459</v>
      </c>
      <c r="G155" s="2">
        <v>12</v>
      </c>
      <c r="H155" t="str">
        <f t="shared" si="20"/>
        <v>OD262BHP01</v>
      </c>
      <c r="I155" t="s">
        <v>425</v>
      </c>
      <c r="J155" s="6" t="s">
        <v>9</v>
      </c>
      <c r="K155">
        <v>10</v>
      </c>
      <c r="L155" s="6">
        <v>59000</v>
      </c>
      <c r="M155" s="6">
        <v>27000</v>
      </c>
      <c r="N155" s="6">
        <f t="shared" si="17"/>
        <v>25000</v>
      </c>
      <c r="O155" s="6">
        <f t="shared" si="18"/>
        <v>23250</v>
      </c>
      <c r="P155" s="4">
        <f t="shared" si="14"/>
        <v>0.60593220338983045</v>
      </c>
      <c r="Q155" s="12">
        <f t="shared" si="19"/>
        <v>23250</v>
      </c>
      <c r="R155" s="13">
        <f t="shared" si="15"/>
        <v>0.60593220338983045</v>
      </c>
    </row>
    <row r="156" spans="2:20">
      <c r="B156" s="2">
        <v>64</v>
      </c>
      <c r="C156" s="2">
        <v>26</v>
      </c>
      <c r="D156">
        <v>2</v>
      </c>
      <c r="E156" s="2" t="s">
        <v>453</v>
      </c>
      <c r="F156" s="2" t="s">
        <v>459</v>
      </c>
      <c r="G156" s="2">
        <v>12</v>
      </c>
      <c r="H156" t="str">
        <f t="shared" si="20"/>
        <v>OD262BHP01</v>
      </c>
      <c r="I156" t="s">
        <v>426</v>
      </c>
      <c r="J156" s="6" t="s">
        <v>9</v>
      </c>
      <c r="K156">
        <v>149</v>
      </c>
      <c r="L156" s="6">
        <v>59000</v>
      </c>
      <c r="M156" s="6">
        <v>27000</v>
      </c>
      <c r="N156" s="6">
        <f t="shared" si="17"/>
        <v>25000</v>
      </c>
      <c r="O156" s="6">
        <f t="shared" si="18"/>
        <v>23250</v>
      </c>
      <c r="P156" s="4">
        <f t="shared" si="14"/>
        <v>0.60593220338983045</v>
      </c>
      <c r="Q156" s="12">
        <f t="shared" si="19"/>
        <v>23250</v>
      </c>
      <c r="R156" s="13">
        <f t="shared" si="15"/>
        <v>0.60593220338983045</v>
      </c>
    </row>
    <row r="157" spans="2:20">
      <c r="B157" s="2">
        <v>65</v>
      </c>
      <c r="C157" s="2">
        <v>26</v>
      </c>
      <c r="D157">
        <v>7</v>
      </c>
      <c r="E157" s="2" t="s">
        <v>385</v>
      </c>
      <c r="F157" s="2" t="s">
        <v>459</v>
      </c>
      <c r="G157" s="2">
        <v>12</v>
      </c>
      <c r="H157" t="str">
        <f t="shared" si="20"/>
        <v>OD267BPT16</v>
      </c>
      <c r="I157" t="s">
        <v>456</v>
      </c>
      <c r="J157" s="6" t="s">
        <v>465</v>
      </c>
      <c r="K157">
        <v>534</v>
      </c>
      <c r="L157" s="6">
        <v>59000</v>
      </c>
      <c r="M157" s="6">
        <v>14000</v>
      </c>
      <c r="N157" s="6"/>
      <c r="P157" s="4">
        <f t="shared" si="14"/>
        <v>1</v>
      </c>
      <c r="Q157" s="12">
        <f t="shared" si="16"/>
        <v>14000</v>
      </c>
      <c r="R157" s="13">
        <f t="shared" si="15"/>
        <v>0.76271186440677963</v>
      </c>
    </row>
    <row r="158" spans="2:20" s="18" customFormat="1">
      <c r="B158" s="2">
        <v>65</v>
      </c>
      <c r="C158" s="2">
        <v>26</v>
      </c>
      <c r="D158">
        <v>7</v>
      </c>
      <c r="E158" s="2" t="s">
        <v>385</v>
      </c>
      <c r="F158" s="2" t="s">
        <v>459</v>
      </c>
      <c r="G158" s="2">
        <v>12</v>
      </c>
      <c r="H158" t="str">
        <f t="shared" si="20"/>
        <v>OD267BPT16</v>
      </c>
      <c r="I158" t="s">
        <v>457</v>
      </c>
      <c r="J158" s="6" t="s">
        <v>465</v>
      </c>
      <c r="K158">
        <v>213</v>
      </c>
      <c r="L158" s="6">
        <v>59000</v>
      </c>
      <c r="M158" s="6">
        <v>14000</v>
      </c>
      <c r="N158" s="6"/>
      <c r="O158" s="6"/>
      <c r="P158" s="4">
        <f t="shared" si="14"/>
        <v>1</v>
      </c>
      <c r="Q158" s="12">
        <f t="shared" si="16"/>
        <v>14000</v>
      </c>
      <c r="R158" s="13">
        <f t="shared" si="15"/>
        <v>0.76271186440677963</v>
      </c>
      <c r="S158" s="2"/>
    </row>
    <row r="159" spans="2:20">
      <c r="B159" s="2">
        <v>65</v>
      </c>
      <c r="C159" s="2">
        <v>26</v>
      </c>
      <c r="D159">
        <v>7</v>
      </c>
      <c r="E159" s="2" t="s">
        <v>385</v>
      </c>
      <c r="F159" s="2" t="s">
        <v>459</v>
      </c>
      <c r="G159" s="2">
        <v>12</v>
      </c>
      <c r="H159" t="str">
        <f t="shared" si="20"/>
        <v>OD267BPT16</v>
      </c>
      <c r="I159" t="s">
        <v>458</v>
      </c>
      <c r="J159" s="6" t="s">
        <v>465</v>
      </c>
      <c r="K159">
        <v>552</v>
      </c>
      <c r="L159" s="6">
        <v>59000</v>
      </c>
      <c r="M159" s="6">
        <v>14000</v>
      </c>
      <c r="N159" s="6"/>
      <c r="P159" s="4">
        <f t="shared" si="14"/>
        <v>1</v>
      </c>
      <c r="Q159" s="12">
        <f t="shared" si="16"/>
        <v>14000</v>
      </c>
      <c r="R159" s="13">
        <f t="shared" si="15"/>
        <v>0.76271186440677963</v>
      </c>
    </row>
    <row r="160" spans="2:20">
      <c r="B160" s="2">
        <v>66</v>
      </c>
      <c r="C160" s="14">
        <v>23</v>
      </c>
      <c r="D160" s="14">
        <v>1</v>
      </c>
      <c r="E160" s="14" t="s">
        <v>385</v>
      </c>
      <c r="F160" s="14" t="s">
        <v>386</v>
      </c>
      <c r="G160" s="14">
        <v>13</v>
      </c>
      <c r="H160" s="18" t="s">
        <v>2</v>
      </c>
      <c r="I160" s="18" t="s">
        <v>192</v>
      </c>
      <c r="J160" s="18" t="s">
        <v>3</v>
      </c>
      <c r="K160">
        <v>129</v>
      </c>
      <c r="L160" s="19">
        <v>69000</v>
      </c>
      <c r="M160" s="19">
        <v>25000</v>
      </c>
      <c r="N160" s="19">
        <f t="shared" ref="N160:N191" si="21">M160-2000</f>
        <v>23000</v>
      </c>
      <c r="O160" s="19">
        <f t="shared" ref="O160:O182" si="22">M160*0.93</f>
        <v>23250</v>
      </c>
      <c r="P160" s="20">
        <f t="shared" si="14"/>
        <v>0.66304347826086962</v>
      </c>
      <c r="Q160" s="12">
        <f t="shared" ref="Q160:Q183" si="23">O160</f>
        <v>23250</v>
      </c>
      <c r="R160" s="16">
        <f t="shared" si="15"/>
        <v>0.66304347826086962</v>
      </c>
      <c r="S160" s="14"/>
    </row>
    <row r="161" spans="2:19">
      <c r="B161" s="2">
        <v>67</v>
      </c>
      <c r="C161" s="2">
        <v>25</v>
      </c>
      <c r="D161" s="2">
        <v>1</v>
      </c>
      <c r="E161" s="2" t="s">
        <v>385</v>
      </c>
      <c r="F161" s="2" t="s">
        <v>386</v>
      </c>
      <c r="G161" s="2">
        <v>13</v>
      </c>
      <c r="H161" t="s">
        <v>143</v>
      </c>
      <c r="I161" t="s">
        <v>223</v>
      </c>
      <c r="J161" t="s">
        <v>144</v>
      </c>
      <c r="K161">
        <v>25</v>
      </c>
      <c r="L161" s="6">
        <v>79000</v>
      </c>
      <c r="M161" s="6">
        <v>43000</v>
      </c>
      <c r="N161" s="6">
        <f t="shared" si="21"/>
        <v>41000</v>
      </c>
      <c r="O161" s="6">
        <f t="shared" si="22"/>
        <v>39990</v>
      </c>
      <c r="P161" s="4">
        <f t="shared" si="14"/>
        <v>0.49379746835443039</v>
      </c>
      <c r="Q161" s="12">
        <f t="shared" si="23"/>
        <v>39990</v>
      </c>
      <c r="R161" s="13">
        <f t="shared" si="15"/>
        <v>0.49379746835443039</v>
      </c>
    </row>
    <row r="162" spans="2:19">
      <c r="B162" s="2">
        <v>67</v>
      </c>
      <c r="C162" s="2">
        <v>25</v>
      </c>
      <c r="D162" s="2">
        <v>1</v>
      </c>
      <c r="E162" s="2" t="s">
        <v>385</v>
      </c>
      <c r="F162" s="2" t="s">
        <v>386</v>
      </c>
      <c r="G162" s="2">
        <v>13</v>
      </c>
      <c r="H162" t="s">
        <v>143</v>
      </c>
      <c r="I162" t="s">
        <v>224</v>
      </c>
      <c r="J162" t="s">
        <v>144</v>
      </c>
      <c r="K162">
        <v>35</v>
      </c>
      <c r="L162" s="6">
        <v>79000</v>
      </c>
      <c r="M162" s="6">
        <v>43000</v>
      </c>
      <c r="N162" s="6">
        <f t="shared" si="21"/>
        <v>41000</v>
      </c>
      <c r="O162" s="6">
        <f t="shared" si="22"/>
        <v>39990</v>
      </c>
      <c r="P162" s="4">
        <f t="shared" si="14"/>
        <v>0.49379746835443039</v>
      </c>
      <c r="Q162" s="12">
        <f t="shared" si="23"/>
        <v>39990</v>
      </c>
      <c r="R162" s="13">
        <f t="shared" si="15"/>
        <v>0.49379746835443039</v>
      </c>
    </row>
    <row r="163" spans="2:19">
      <c r="B163" s="2">
        <v>68</v>
      </c>
      <c r="C163" s="2">
        <v>25</v>
      </c>
      <c r="D163" s="2">
        <v>1</v>
      </c>
      <c r="E163" s="2" t="s">
        <v>385</v>
      </c>
      <c r="F163" s="2" t="s">
        <v>386</v>
      </c>
      <c r="G163" s="2">
        <v>13</v>
      </c>
      <c r="H163" t="s">
        <v>141</v>
      </c>
      <c r="I163" t="s">
        <v>225</v>
      </c>
      <c r="J163" t="s">
        <v>142</v>
      </c>
      <c r="K163">
        <v>112</v>
      </c>
      <c r="L163" s="6">
        <v>79000</v>
      </c>
      <c r="M163" s="6">
        <v>42000</v>
      </c>
      <c r="N163" s="6">
        <f t="shared" si="21"/>
        <v>40000</v>
      </c>
      <c r="O163" s="6">
        <f t="shared" si="22"/>
        <v>39060</v>
      </c>
      <c r="P163" s="4">
        <f t="shared" si="14"/>
        <v>0.50556962025316454</v>
      </c>
      <c r="Q163" s="12">
        <f t="shared" si="23"/>
        <v>39060</v>
      </c>
      <c r="R163" s="13">
        <f t="shared" si="15"/>
        <v>0.50556962025316454</v>
      </c>
      <c r="S163" s="2" t="s">
        <v>422</v>
      </c>
    </row>
    <row r="164" spans="2:19">
      <c r="B164" s="2">
        <v>68</v>
      </c>
      <c r="C164" s="2">
        <v>25</v>
      </c>
      <c r="D164" s="2">
        <v>1</v>
      </c>
      <c r="E164" s="2" t="s">
        <v>385</v>
      </c>
      <c r="F164" s="2" t="s">
        <v>386</v>
      </c>
      <c r="G164" s="2">
        <v>13</v>
      </c>
      <c r="H164" t="s">
        <v>141</v>
      </c>
      <c r="I164" t="s">
        <v>226</v>
      </c>
      <c r="J164" t="s">
        <v>142</v>
      </c>
      <c r="K164">
        <v>25</v>
      </c>
      <c r="L164" s="6">
        <v>79000</v>
      </c>
      <c r="M164" s="6">
        <v>42000</v>
      </c>
      <c r="N164" s="6">
        <f t="shared" si="21"/>
        <v>40000</v>
      </c>
      <c r="O164" s="6">
        <f t="shared" si="22"/>
        <v>39060</v>
      </c>
      <c r="P164" s="4">
        <f t="shared" si="14"/>
        <v>0.50556962025316454</v>
      </c>
      <c r="Q164" s="12">
        <f t="shared" si="23"/>
        <v>39060</v>
      </c>
      <c r="R164" s="13">
        <f t="shared" si="15"/>
        <v>0.50556962025316454</v>
      </c>
      <c r="S164" s="2" t="s">
        <v>422</v>
      </c>
    </row>
    <row r="165" spans="2:19">
      <c r="B165" s="2">
        <v>69</v>
      </c>
      <c r="C165" s="2">
        <v>25</v>
      </c>
      <c r="D165" s="2">
        <v>1</v>
      </c>
      <c r="E165" s="2" t="s">
        <v>385</v>
      </c>
      <c r="F165" s="2" t="s">
        <v>386</v>
      </c>
      <c r="G165" s="2">
        <v>13</v>
      </c>
      <c r="H165" t="s">
        <v>158</v>
      </c>
      <c r="I165" t="s">
        <v>227</v>
      </c>
      <c r="J165" t="s">
        <v>159</v>
      </c>
      <c r="K165">
        <v>67</v>
      </c>
      <c r="L165" s="6">
        <v>89000</v>
      </c>
      <c r="M165" s="6">
        <v>42000</v>
      </c>
      <c r="N165" s="6">
        <f t="shared" si="21"/>
        <v>40000</v>
      </c>
      <c r="O165" s="6">
        <f t="shared" si="22"/>
        <v>39060</v>
      </c>
      <c r="P165" s="4">
        <f t="shared" si="14"/>
        <v>0.56112359550561797</v>
      </c>
      <c r="Q165" s="12">
        <f t="shared" si="23"/>
        <v>39060</v>
      </c>
      <c r="R165" s="13">
        <f t="shared" si="15"/>
        <v>0.56112359550561797</v>
      </c>
      <c r="S165" s="2" t="s">
        <v>422</v>
      </c>
    </row>
    <row r="166" spans="2:19">
      <c r="B166" s="2">
        <v>69</v>
      </c>
      <c r="C166" s="2">
        <v>25</v>
      </c>
      <c r="D166" s="2">
        <v>1</v>
      </c>
      <c r="E166" s="2" t="s">
        <v>385</v>
      </c>
      <c r="F166" s="2" t="s">
        <v>386</v>
      </c>
      <c r="G166" s="2">
        <v>13</v>
      </c>
      <c r="H166" t="s">
        <v>158</v>
      </c>
      <c r="I166" t="s">
        <v>228</v>
      </c>
      <c r="J166" t="s">
        <v>159</v>
      </c>
      <c r="K166">
        <v>50</v>
      </c>
      <c r="L166" s="6">
        <v>89000</v>
      </c>
      <c r="M166" s="6">
        <v>42000</v>
      </c>
      <c r="N166" s="6">
        <f t="shared" si="21"/>
        <v>40000</v>
      </c>
      <c r="O166" s="6">
        <f t="shared" si="22"/>
        <v>39060</v>
      </c>
      <c r="P166" s="4">
        <f t="shared" si="14"/>
        <v>0.56112359550561797</v>
      </c>
      <c r="Q166" s="12">
        <f t="shared" si="23"/>
        <v>39060</v>
      </c>
      <c r="R166" s="13">
        <f t="shared" si="15"/>
        <v>0.56112359550561797</v>
      </c>
      <c r="S166" s="2" t="s">
        <v>422</v>
      </c>
    </row>
    <row r="167" spans="2:19">
      <c r="B167" s="2">
        <v>70</v>
      </c>
      <c r="C167" s="2">
        <v>25</v>
      </c>
      <c r="D167" s="2">
        <v>1</v>
      </c>
      <c r="E167" s="2" t="s">
        <v>385</v>
      </c>
      <c r="F167" s="2" t="s">
        <v>386</v>
      </c>
      <c r="G167" s="2">
        <v>13</v>
      </c>
      <c r="H167" t="s">
        <v>75</v>
      </c>
      <c r="I167" t="s">
        <v>229</v>
      </c>
      <c r="J167" t="s">
        <v>76</v>
      </c>
      <c r="K167">
        <v>96</v>
      </c>
      <c r="L167" s="6">
        <v>55000</v>
      </c>
      <c r="M167" s="6">
        <v>30000</v>
      </c>
      <c r="N167" s="6">
        <f t="shared" si="21"/>
        <v>28000</v>
      </c>
      <c r="O167" s="6">
        <f t="shared" si="22"/>
        <v>27900</v>
      </c>
      <c r="P167" s="4">
        <f t="shared" si="14"/>
        <v>0.49272727272727268</v>
      </c>
      <c r="Q167" s="12">
        <f t="shared" si="23"/>
        <v>27900</v>
      </c>
      <c r="R167" s="13">
        <f t="shared" si="15"/>
        <v>0.49272727272727268</v>
      </c>
    </row>
    <row r="168" spans="2:19">
      <c r="B168" s="2">
        <v>71</v>
      </c>
      <c r="C168" s="2">
        <v>25</v>
      </c>
      <c r="D168" s="2">
        <v>1</v>
      </c>
      <c r="E168" s="2" t="s">
        <v>385</v>
      </c>
      <c r="F168" s="2" t="s">
        <v>386</v>
      </c>
      <c r="G168" s="2">
        <v>13</v>
      </c>
      <c r="H168" t="s">
        <v>107</v>
      </c>
      <c r="I168" t="s">
        <v>230</v>
      </c>
      <c r="J168" t="s">
        <v>106</v>
      </c>
      <c r="K168">
        <v>35</v>
      </c>
      <c r="L168" s="6">
        <v>55000</v>
      </c>
      <c r="M168" s="6">
        <v>30000</v>
      </c>
      <c r="N168" s="6">
        <f t="shared" si="21"/>
        <v>28000</v>
      </c>
      <c r="O168" s="6">
        <f t="shared" si="22"/>
        <v>27900</v>
      </c>
      <c r="P168" s="4">
        <f t="shared" si="14"/>
        <v>0.49272727272727268</v>
      </c>
      <c r="Q168" s="12">
        <f t="shared" si="23"/>
        <v>27900</v>
      </c>
      <c r="R168" s="13">
        <f t="shared" si="15"/>
        <v>0.49272727272727268</v>
      </c>
    </row>
    <row r="169" spans="2:19">
      <c r="B169" s="2">
        <v>71</v>
      </c>
      <c r="C169" s="2">
        <v>25</v>
      </c>
      <c r="D169" s="2">
        <v>1</v>
      </c>
      <c r="E169" s="2" t="s">
        <v>385</v>
      </c>
      <c r="F169" s="2" t="s">
        <v>386</v>
      </c>
      <c r="G169" s="2">
        <v>13</v>
      </c>
      <c r="H169" t="s">
        <v>107</v>
      </c>
      <c r="I169" t="s">
        <v>231</v>
      </c>
      <c r="J169" t="s">
        <v>106</v>
      </c>
      <c r="K169">
        <v>32</v>
      </c>
      <c r="L169" s="6">
        <v>55000</v>
      </c>
      <c r="M169" s="6">
        <v>30000</v>
      </c>
      <c r="N169" s="6">
        <f t="shared" si="21"/>
        <v>28000</v>
      </c>
      <c r="O169" s="6">
        <f t="shared" si="22"/>
        <v>27900</v>
      </c>
      <c r="P169" s="4">
        <f t="shared" si="14"/>
        <v>0.49272727272727268</v>
      </c>
      <c r="Q169" s="12">
        <f t="shared" si="23"/>
        <v>27900</v>
      </c>
      <c r="R169" s="13">
        <f t="shared" si="15"/>
        <v>0.49272727272727268</v>
      </c>
    </row>
    <row r="170" spans="2:19">
      <c r="B170" s="2">
        <v>72</v>
      </c>
      <c r="C170" s="2">
        <v>26</v>
      </c>
      <c r="D170" s="2">
        <v>1</v>
      </c>
      <c r="E170" s="2" t="s">
        <v>385</v>
      </c>
      <c r="F170" s="2" t="s">
        <v>386</v>
      </c>
      <c r="G170" s="2">
        <v>13</v>
      </c>
      <c r="H170" t="s">
        <v>139</v>
      </c>
      <c r="I170" t="s">
        <v>298</v>
      </c>
      <c r="J170" t="s">
        <v>140</v>
      </c>
      <c r="K170">
        <v>56</v>
      </c>
      <c r="L170" s="6">
        <v>79000</v>
      </c>
      <c r="M170" s="6">
        <v>40000</v>
      </c>
      <c r="N170" s="6">
        <f t="shared" si="21"/>
        <v>38000</v>
      </c>
      <c r="O170" s="6">
        <f t="shared" si="22"/>
        <v>37200</v>
      </c>
      <c r="P170" s="4">
        <f t="shared" si="14"/>
        <v>0.52911392405063284</v>
      </c>
      <c r="Q170" s="12">
        <f t="shared" si="23"/>
        <v>37200</v>
      </c>
      <c r="R170" s="13">
        <f t="shared" si="15"/>
        <v>0.52911392405063284</v>
      </c>
      <c r="S170" s="2" t="s">
        <v>422</v>
      </c>
    </row>
    <row r="171" spans="2:19">
      <c r="B171" s="2">
        <v>72</v>
      </c>
      <c r="C171" s="2">
        <v>26</v>
      </c>
      <c r="D171" s="2">
        <v>1</v>
      </c>
      <c r="E171" s="2" t="s">
        <v>385</v>
      </c>
      <c r="F171" s="2" t="s">
        <v>386</v>
      </c>
      <c r="G171" s="2">
        <v>13</v>
      </c>
      <c r="H171" t="s">
        <v>139</v>
      </c>
      <c r="I171" t="s">
        <v>299</v>
      </c>
      <c r="J171" t="s">
        <v>140</v>
      </c>
      <c r="K171">
        <v>121</v>
      </c>
      <c r="L171" s="6">
        <v>79000</v>
      </c>
      <c r="M171" s="6">
        <v>40000</v>
      </c>
      <c r="N171" s="6">
        <f t="shared" si="21"/>
        <v>38000</v>
      </c>
      <c r="O171" s="6">
        <f t="shared" si="22"/>
        <v>37200</v>
      </c>
      <c r="P171" s="4">
        <f t="shared" si="14"/>
        <v>0.52911392405063284</v>
      </c>
      <c r="Q171" s="12">
        <f t="shared" si="23"/>
        <v>37200</v>
      </c>
      <c r="R171" s="13">
        <f t="shared" si="15"/>
        <v>0.52911392405063284</v>
      </c>
      <c r="S171" s="2" t="s">
        <v>422</v>
      </c>
    </row>
    <row r="172" spans="2:19">
      <c r="B172" s="2">
        <v>73</v>
      </c>
      <c r="C172" s="2">
        <v>26</v>
      </c>
      <c r="D172" s="2">
        <v>1</v>
      </c>
      <c r="E172" s="2" t="s">
        <v>385</v>
      </c>
      <c r="F172" s="2" t="s">
        <v>386</v>
      </c>
      <c r="G172" s="2">
        <v>13</v>
      </c>
      <c r="H172" t="s">
        <v>182</v>
      </c>
      <c r="I172" t="s">
        <v>300</v>
      </c>
      <c r="J172" t="s">
        <v>183</v>
      </c>
      <c r="K172">
        <v>32</v>
      </c>
      <c r="L172" s="6">
        <v>79000</v>
      </c>
      <c r="M172" s="6">
        <v>43000</v>
      </c>
      <c r="N172" s="6">
        <f t="shared" si="21"/>
        <v>41000</v>
      </c>
      <c r="O172" s="6">
        <f t="shared" si="22"/>
        <v>39990</v>
      </c>
      <c r="P172" s="4">
        <f t="shared" si="14"/>
        <v>0.49379746835443039</v>
      </c>
      <c r="Q172" s="12">
        <f t="shared" si="23"/>
        <v>39990</v>
      </c>
      <c r="R172" s="13">
        <f t="shared" si="15"/>
        <v>0.49379746835443039</v>
      </c>
    </row>
    <row r="173" spans="2:19">
      <c r="B173" s="2">
        <v>73</v>
      </c>
      <c r="C173" s="2">
        <v>26</v>
      </c>
      <c r="D173" s="2">
        <v>1</v>
      </c>
      <c r="E173" s="2" t="s">
        <v>385</v>
      </c>
      <c r="F173" s="2" t="s">
        <v>386</v>
      </c>
      <c r="G173" s="2">
        <v>13</v>
      </c>
      <c r="H173" t="s">
        <v>182</v>
      </c>
      <c r="I173" t="s">
        <v>301</v>
      </c>
      <c r="J173" t="s">
        <v>183</v>
      </c>
      <c r="K173">
        <v>27</v>
      </c>
      <c r="L173" s="6">
        <v>79000</v>
      </c>
      <c r="M173" s="6">
        <v>43000</v>
      </c>
      <c r="N173" s="6">
        <f t="shared" si="21"/>
        <v>41000</v>
      </c>
      <c r="O173" s="6">
        <f t="shared" si="22"/>
        <v>39990</v>
      </c>
      <c r="P173" s="4">
        <f t="shared" si="14"/>
        <v>0.49379746835443039</v>
      </c>
      <c r="Q173" s="12">
        <f t="shared" si="23"/>
        <v>39990</v>
      </c>
      <c r="R173" s="13">
        <f t="shared" si="15"/>
        <v>0.49379746835443039</v>
      </c>
    </row>
    <row r="174" spans="2:19">
      <c r="B174" s="2">
        <v>74</v>
      </c>
      <c r="C174" s="2">
        <v>26</v>
      </c>
      <c r="D174" s="2">
        <v>1</v>
      </c>
      <c r="E174" s="2" t="s">
        <v>385</v>
      </c>
      <c r="F174" s="2" t="s">
        <v>386</v>
      </c>
      <c r="G174" s="2">
        <v>13</v>
      </c>
      <c r="H174" t="s">
        <v>172</v>
      </c>
      <c r="I174" t="s">
        <v>302</v>
      </c>
      <c r="J174" t="s">
        <v>173</v>
      </c>
      <c r="K174">
        <v>50</v>
      </c>
      <c r="L174" s="6">
        <v>89000</v>
      </c>
      <c r="M174" s="6">
        <v>48000</v>
      </c>
      <c r="N174" s="6">
        <f t="shared" si="21"/>
        <v>46000</v>
      </c>
      <c r="O174" s="6">
        <f t="shared" si="22"/>
        <v>44640</v>
      </c>
      <c r="P174" s="4">
        <f t="shared" si="14"/>
        <v>0.49842696629213479</v>
      </c>
      <c r="Q174" s="12">
        <f t="shared" si="23"/>
        <v>44640</v>
      </c>
      <c r="R174" s="13">
        <f t="shared" si="15"/>
        <v>0.49842696629213479</v>
      </c>
    </row>
    <row r="175" spans="2:19">
      <c r="B175" s="2">
        <v>74</v>
      </c>
      <c r="C175" s="2">
        <v>26</v>
      </c>
      <c r="D175" s="2">
        <v>1</v>
      </c>
      <c r="E175" s="2" t="s">
        <v>385</v>
      </c>
      <c r="F175" s="2" t="s">
        <v>386</v>
      </c>
      <c r="G175" s="2">
        <v>13</v>
      </c>
      <c r="H175" t="s">
        <v>172</v>
      </c>
      <c r="I175" t="s">
        <v>303</v>
      </c>
      <c r="J175" t="s">
        <v>173</v>
      </c>
      <c r="K175">
        <v>47</v>
      </c>
      <c r="L175" s="6">
        <v>89000</v>
      </c>
      <c r="M175" s="6">
        <v>48000</v>
      </c>
      <c r="N175" s="6">
        <f t="shared" si="21"/>
        <v>46000</v>
      </c>
      <c r="O175" s="6">
        <f t="shared" si="22"/>
        <v>44640</v>
      </c>
      <c r="P175" s="4">
        <f t="shared" si="14"/>
        <v>0.49842696629213479</v>
      </c>
      <c r="Q175" s="12">
        <f t="shared" si="23"/>
        <v>44640</v>
      </c>
      <c r="R175" s="13">
        <f t="shared" si="15"/>
        <v>0.49842696629213479</v>
      </c>
    </row>
    <row r="176" spans="2:19">
      <c r="B176" s="2">
        <v>75</v>
      </c>
      <c r="C176" s="2">
        <v>26</v>
      </c>
      <c r="D176" s="2">
        <v>1</v>
      </c>
      <c r="E176" s="2" t="s">
        <v>385</v>
      </c>
      <c r="F176" s="2" t="s">
        <v>386</v>
      </c>
      <c r="G176" s="2">
        <v>13</v>
      </c>
      <c r="H176" t="s">
        <v>156</v>
      </c>
      <c r="I176" t="s">
        <v>304</v>
      </c>
      <c r="J176" t="s">
        <v>157</v>
      </c>
      <c r="K176">
        <v>65</v>
      </c>
      <c r="L176" s="6">
        <v>59000</v>
      </c>
      <c r="M176" s="6">
        <v>31000</v>
      </c>
      <c r="N176" s="6">
        <f t="shared" si="21"/>
        <v>29000</v>
      </c>
      <c r="O176" s="6">
        <f t="shared" si="22"/>
        <v>28830</v>
      </c>
      <c r="P176" s="4">
        <f t="shared" si="14"/>
        <v>0.51135593220338982</v>
      </c>
      <c r="Q176" s="12">
        <f t="shared" si="23"/>
        <v>28830</v>
      </c>
      <c r="R176" s="13">
        <f t="shared" si="15"/>
        <v>0.51135593220338982</v>
      </c>
      <c r="S176" s="2" t="s">
        <v>422</v>
      </c>
    </row>
    <row r="177" spans="2:20">
      <c r="B177" s="2">
        <v>75</v>
      </c>
      <c r="C177" s="2">
        <v>26</v>
      </c>
      <c r="D177" s="2">
        <v>1</v>
      </c>
      <c r="E177" s="2" t="s">
        <v>385</v>
      </c>
      <c r="F177" s="2" t="s">
        <v>386</v>
      </c>
      <c r="G177" s="2">
        <v>13</v>
      </c>
      <c r="H177" t="s">
        <v>156</v>
      </c>
      <c r="I177" t="s">
        <v>305</v>
      </c>
      <c r="J177" t="s">
        <v>157</v>
      </c>
      <c r="K177">
        <v>40</v>
      </c>
      <c r="L177" s="6">
        <v>59000</v>
      </c>
      <c r="M177" s="6">
        <v>31000</v>
      </c>
      <c r="N177" s="6">
        <f t="shared" si="21"/>
        <v>29000</v>
      </c>
      <c r="O177" s="6">
        <f t="shared" si="22"/>
        <v>28830</v>
      </c>
      <c r="P177" s="4">
        <f t="shared" si="14"/>
        <v>0.51135593220338982</v>
      </c>
      <c r="Q177" s="12">
        <f t="shared" si="23"/>
        <v>28830</v>
      </c>
      <c r="R177" s="13">
        <f t="shared" si="15"/>
        <v>0.51135593220338982</v>
      </c>
      <c r="S177" s="2" t="s">
        <v>422</v>
      </c>
    </row>
    <row r="178" spans="2:20">
      <c r="B178" s="2">
        <v>75</v>
      </c>
      <c r="C178" s="2">
        <v>26</v>
      </c>
      <c r="D178" s="2">
        <v>1</v>
      </c>
      <c r="E178" s="2" t="s">
        <v>385</v>
      </c>
      <c r="F178" s="2" t="s">
        <v>386</v>
      </c>
      <c r="G178" s="2">
        <v>13</v>
      </c>
      <c r="H178" t="s">
        <v>156</v>
      </c>
      <c r="I178" t="s">
        <v>306</v>
      </c>
      <c r="J178" t="s">
        <v>157</v>
      </c>
      <c r="K178">
        <v>78</v>
      </c>
      <c r="L178" s="6">
        <v>59000</v>
      </c>
      <c r="M178" s="6">
        <v>31000</v>
      </c>
      <c r="N178" s="6">
        <f t="shared" si="21"/>
        <v>29000</v>
      </c>
      <c r="O178" s="6">
        <f t="shared" si="22"/>
        <v>28830</v>
      </c>
      <c r="P178" s="4">
        <f t="shared" si="14"/>
        <v>0.51135593220338982</v>
      </c>
      <c r="Q178" s="12">
        <f t="shared" si="23"/>
        <v>28830</v>
      </c>
      <c r="R178" s="13">
        <f t="shared" si="15"/>
        <v>0.51135593220338982</v>
      </c>
      <c r="S178" s="2" t="s">
        <v>422</v>
      </c>
    </row>
    <row r="179" spans="2:20">
      <c r="B179" s="2">
        <v>76</v>
      </c>
      <c r="C179" s="2">
        <v>26</v>
      </c>
      <c r="D179" s="2">
        <v>1</v>
      </c>
      <c r="E179" s="2" t="s">
        <v>385</v>
      </c>
      <c r="F179" s="2" t="s">
        <v>386</v>
      </c>
      <c r="G179" s="2">
        <v>13</v>
      </c>
      <c r="H179" t="s">
        <v>154</v>
      </c>
      <c r="I179" t="s">
        <v>307</v>
      </c>
      <c r="J179" t="s">
        <v>155</v>
      </c>
      <c r="K179">
        <v>46</v>
      </c>
      <c r="L179" s="6">
        <v>59000</v>
      </c>
      <c r="M179" s="6">
        <v>32000</v>
      </c>
      <c r="N179" s="6">
        <f t="shared" si="21"/>
        <v>30000</v>
      </c>
      <c r="O179" s="6">
        <f t="shared" si="22"/>
        <v>29760</v>
      </c>
      <c r="P179" s="4">
        <f t="shared" si="14"/>
        <v>0.49559322033898301</v>
      </c>
      <c r="Q179" s="12">
        <f t="shared" si="23"/>
        <v>29760</v>
      </c>
      <c r="R179" s="13">
        <f t="shared" si="15"/>
        <v>0.49559322033898301</v>
      </c>
    </row>
    <row r="180" spans="2:20">
      <c r="B180" s="2">
        <v>76</v>
      </c>
      <c r="C180" s="2">
        <v>26</v>
      </c>
      <c r="D180" s="2">
        <v>1</v>
      </c>
      <c r="E180" s="2" t="s">
        <v>385</v>
      </c>
      <c r="F180" s="2" t="s">
        <v>386</v>
      </c>
      <c r="G180" s="2">
        <v>13</v>
      </c>
      <c r="H180" t="s">
        <v>154</v>
      </c>
      <c r="I180" t="s">
        <v>308</v>
      </c>
      <c r="J180" t="s">
        <v>155</v>
      </c>
      <c r="K180">
        <v>61</v>
      </c>
      <c r="L180" s="6">
        <v>59000</v>
      </c>
      <c r="M180" s="6">
        <v>32000</v>
      </c>
      <c r="N180" s="6">
        <f t="shared" si="21"/>
        <v>30000</v>
      </c>
      <c r="O180" s="6">
        <f t="shared" si="22"/>
        <v>29760</v>
      </c>
      <c r="P180" s="4">
        <f t="shared" si="14"/>
        <v>0.49559322033898301</v>
      </c>
      <c r="Q180" s="12">
        <f t="shared" si="23"/>
        <v>29760</v>
      </c>
      <c r="R180" s="13">
        <f t="shared" si="15"/>
        <v>0.49559322033898301</v>
      </c>
    </row>
    <row r="181" spans="2:20" s="18" customFormat="1">
      <c r="B181" s="2">
        <v>77</v>
      </c>
      <c r="C181" s="2">
        <v>26</v>
      </c>
      <c r="D181" s="2">
        <v>1</v>
      </c>
      <c r="E181" s="2" t="s">
        <v>385</v>
      </c>
      <c r="F181" s="2" t="s">
        <v>386</v>
      </c>
      <c r="G181" s="2">
        <v>13</v>
      </c>
      <c r="H181" t="s">
        <v>123</v>
      </c>
      <c r="I181" t="s">
        <v>309</v>
      </c>
      <c r="J181" t="s">
        <v>124</v>
      </c>
      <c r="K181">
        <v>42</v>
      </c>
      <c r="L181" s="6">
        <v>59000</v>
      </c>
      <c r="M181" s="6">
        <v>32000</v>
      </c>
      <c r="N181" s="6">
        <f t="shared" si="21"/>
        <v>30000</v>
      </c>
      <c r="O181" s="6">
        <f t="shared" si="22"/>
        <v>29760</v>
      </c>
      <c r="P181" s="4">
        <f t="shared" si="14"/>
        <v>0.49559322033898301</v>
      </c>
      <c r="Q181" s="12">
        <f t="shared" si="23"/>
        <v>29760</v>
      </c>
      <c r="R181" s="13">
        <f t="shared" si="15"/>
        <v>0.49559322033898301</v>
      </c>
      <c r="S181" s="2"/>
      <c r="T181"/>
    </row>
    <row r="182" spans="2:20" s="18" customFormat="1">
      <c r="B182" s="2">
        <v>77</v>
      </c>
      <c r="C182" s="2">
        <v>26</v>
      </c>
      <c r="D182" s="2">
        <v>1</v>
      </c>
      <c r="E182" s="2" t="s">
        <v>385</v>
      </c>
      <c r="F182" s="2" t="s">
        <v>386</v>
      </c>
      <c r="G182" s="2">
        <v>13</v>
      </c>
      <c r="H182" t="s">
        <v>123</v>
      </c>
      <c r="I182" t="s">
        <v>310</v>
      </c>
      <c r="J182" t="s">
        <v>124</v>
      </c>
      <c r="K182">
        <v>66</v>
      </c>
      <c r="L182" s="6">
        <v>59000</v>
      </c>
      <c r="M182" s="6">
        <v>32000</v>
      </c>
      <c r="N182" s="6">
        <f t="shared" si="21"/>
        <v>30000</v>
      </c>
      <c r="O182" s="6">
        <f t="shared" si="22"/>
        <v>29760</v>
      </c>
      <c r="P182" s="4">
        <f t="shared" si="14"/>
        <v>0.49559322033898301</v>
      </c>
      <c r="Q182" s="12">
        <f t="shared" si="23"/>
        <v>29760</v>
      </c>
      <c r="R182" s="13">
        <f t="shared" si="15"/>
        <v>0.49559322033898301</v>
      </c>
      <c r="S182" s="2"/>
      <c r="T182"/>
    </row>
    <row r="183" spans="2:20" s="18" customFormat="1">
      <c r="B183" s="2">
        <v>78</v>
      </c>
      <c r="C183" s="14">
        <v>24</v>
      </c>
      <c r="D183" s="14">
        <v>3</v>
      </c>
      <c r="E183" s="14" t="s">
        <v>385</v>
      </c>
      <c r="F183" s="14" t="s">
        <v>386</v>
      </c>
      <c r="G183" s="14">
        <v>13</v>
      </c>
      <c r="H183" s="18" t="s">
        <v>170</v>
      </c>
      <c r="I183" s="18" t="s">
        <v>199</v>
      </c>
      <c r="J183" s="18" t="s">
        <v>171</v>
      </c>
      <c r="K183">
        <v>51</v>
      </c>
      <c r="L183" s="19">
        <v>79000</v>
      </c>
      <c r="M183" s="19">
        <v>25000</v>
      </c>
      <c r="N183" s="19">
        <f t="shared" si="21"/>
        <v>23000</v>
      </c>
      <c r="O183" s="19">
        <f t="shared" ref="O183:O217" si="24">N183*0.93</f>
        <v>21390</v>
      </c>
      <c r="P183" s="20">
        <f t="shared" si="14"/>
        <v>0.72924050632911386</v>
      </c>
      <c r="Q183" s="12">
        <f t="shared" si="23"/>
        <v>21390</v>
      </c>
      <c r="R183" s="16">
        <f t="shared" si="15"/>
        <v>0.72924050632911386</v>
      </c>
      <c r="S183" s="14"/>
      <c r="T183"/>
    </row>
    <row r="184" spans="2:20" s="18" customFormat="1">
      <c r="B184" s="2">
        <v>79</v>
      </c>
      <c r="C184" s="14">
        <v>24</v>
      </c>
      <c r="D184" s="14">
        <v>3</v>
      </c>
      <c r="E184" s="14" t="s">
        <v>385</v>
      </c>
      <c r="F184" s="14" t="s">
        <v>386</v>
      </c>
      <c r="G184" s="14">
        <v>13</v>
      </c>
      <c r="H184" s="18" t="s">
        <v>105</v>
      </c>
      <c r="I184" s="18" t="s">
        <v>200</v>
      </c>
      <c r="J184" s="18" t="s">
        <v>106</v>
      </c>
      <c r="K184">
        <v>52</v>
      </c>
      <c r="L184" s="19">
        <v>59000</v>
      </c>
      <c r="M184" s="19">
        <v>20000</v>
      </c>
      <c r="N184" s="19">
        <f t="shared" si="21"/>
        <v>18000</v>
      </c>
      <c r="O184" s="19"/>
      <c r="P184" s="20">
        <f t="shared" si="14"/>
        <v>1</v>
      </c>
      <c r="Q184" s="15">
        <v>18000</v>
      </c>
      <c r="R184" s="16">
        <f t="shared" si="15"/>
        <v>0.69491525423728806</v>
      </c>
      <c r="S184" s="14"/>
    </row>
    <row r="185" spans="2:20" s="18" customFormat="1">
      <c r="B185" s="2">
        <v>79</v>
      </c>
      <c r="C185" s="14">
        <v>24</v>
      </c>
      <c r="D185" s="14">
        <v>3</v>
      </c>
      <c r="E185" s="14" t="s">
        <v>385</v>
      </c>
      <c r="F185" s="14" t="s">
        <v>386</v>
      </c>
      <c r="G185" s="14">
        <v>13</v>
      </c>
      <c r="H185" s="18" t="s">
        <v>105</v>
      </c>
      <c r="I185" s="18" t="s">
        <v>201</v>
      </c>
      <c r="J185" s="18" t="s">
        <v>106</v>
      </c>
      <c r="K185">
        <v>191</v>
      </c>
      <c r="L185" s="19">
        <v>59000</v>
      </c>
      <c r="M185" s="19">
        <v>20000</v>
      </c>
      <c r="N185" s="19">
        <f t="shared" si="21"/>
        <v>18000</v>
      </c>
      <c r="O185" s="19"/>
      <c r="P185" s="20">
        <f t="shared" si="14"/>
        <v>1</v>
      </c>
      <c r="Q185" s="15">
        <v>18000</v>
      </c>
      <c r="R185" s="16">
        <f t="shared" si="15"/>
        <v>0.69491525423728806</v>
      </c>
      <c r="S185" s="14"/>
    </row>
    <row r="186" spans="2:20" s="18" customFormat="1">
      <c r="B186" s="2">
        <v>79</v>
      </c>
      <c r="C186" s="14">
        <v>24</v>
      </c>
      <c r="D186" s="14">
        <v>3</v>
      </c>
      <c r="E186" s="14" t="s">
        <v>385</v>
      </c>
      <c r="F186" s="14" t="s">
        <v>386</v>
      </c>
      <c r="G186" s="14">
        <v>13</v>
      </c>
      <c r="H186" s="18" t="s">
        <v>105</v>
      </c>
      <c r="I186" s="18" t="s">
        <v>202</v>
      </c>
      <c r="J186" s="18" t="s">
        <v>106</v>
      </c>
      <c r="K186">
        <v>130</v>
      </c>
      <c r="L186" s="19">
        <v>59000</v>
      </c>
      <c r="M186" s="19">
        <v>20000</v>
      </c>
      <c r="N186" s="19">
        <f t="shared" si="21"/>
        <v>18000</v>
      </c>
      <c r="O186" s="19"/>
      <c r="P186" s="20">
        <f t="shared" si="14"/>
        <v>1</v>
      </c>
      <c r="Q186" s="15">
        <v>18000</v>
      </c>
      <c r="R186" s="16">
        <f t="shared" si="15"/>
        <v>0.69491525423728806</v>
      </c>
      <c r="S186" s="14"/>
    </row>
    <row r="187" spans="2:20">
      <c r="B187" s="2">
        <v>80</v>
      </c>
      <c r="C187" s="2">
        <v>25</v>
      </c>
      <c r="D187" s="2">
        <v>3</v>
      </c>
      <c r="E187" s="2" t="s">
        <v>385</v>
      </c>
      <c r="F187" s="2" t="s">
        <v>386</v>
      </c>
      <c r="G187" s="2">
        <v>13</v>
      </c>
      <c r="H187" t="s">
        <v>184</v>
      </c>
      <c r="I187" t="s">
        <v>246</v>
      </c>
      <c r="J187" t="s">
        <v>185</v>
      </c>
      <c r="K187">
        <v>40</v>
      </c>
      <c r="L187" s="6">
        <v>59000</v>
      </c>
      <c r="M187" s="6">
        <v>30000</v>
      </c>
      <c r="N187" s="6">
        <f t="shared" si="21"/>
        <v>28000</v>
      </c>
      <c r="O187" s="6">
        <f t="shared" si="24"/>
        <v>26040</v>
      </c>
      <c r="P187" s="4">
        <f t="shared" si="14"/>
        <v>0.55864406779661024</v>
      </c>
      <c r="Q187" s="12">
        <f t="shared" ref="Q187:Q217" si="25">O187</f>
        <v>26040</v>
      </c>
      <c r="R187" s="13">
        <f t="shared" si="15"/>
        <v>0.55864406779661024</v>
      </c>
    </row>
    <row r="188" spans="2:20">
      <c r="B188" s="2">
        <v>80</v>
      </c>
      <c r="C188" s="2">
        <v>25</v>
      </c>
      <c r="D188" s="2">
        <v>3</v>
      </c>
      <c r="E188" s="2" t="s">
        <v>385</v>
      </c>
      <c r="F188" s="2" t="s">
        <v>386</v>
      </c>
      <c r="G188" s="2">
        <v>13</v>
      </c>
      <c r="H188" t="s">
        <v>184</v>
      </c>
      <c r="I188" t="s">
        <v>247</v>
      </c>
      <c r="J188" t="s">
        <v>185</v>
      </c>
      <c r="K188">
        <v>34</v>
      </c>
      <c r="L188" s="6">
        <v>59000</v>
      </c>
      <c r="M188" s="6">
        <v>30000</v>
      </c>
      <c r="N188" s="6">
        <f t="shared" si="21"/>
        <v>28000</v>
      </c>
      <c r="O188" s="6">
        <f t="shared" si="24"/>
        <v>26040</v>
      </c>
      <c r="P188" s="4">
        <f t="shared" si="14"/>
        <v>0.55864406779661024</v>
      </c>
      <c r="Q188" s="12">
        <f t="shared" si="25"/>
        <v>26040</v>
      </c>
      <c r="R188" s="13">
        <f t="shared" si="15"/>
        <v>0.55864406779661024</v>
      </c>
    </row>
    <row r="189" spans="2:20">
      <c r="B189" s="2">
        <v>81</v>
      </c>
      <c r="C189" s="2">
        <v>25</v>
      </c>
      <c r="D189" s="2">
        <v>3</v>
      </c>
      <c r="E189" s="2" t="s">
        <v>385</v>
      </c>
      <c r="F189" s="2" t="s">
        <v>386</v>
      </c>
      <c r="G189" s="2">
        <v>13</v>
      </c>
      <c r="H189" t="s">
        <v>137</v>
      </c>
      <c r="I189" t="s">
        <v>248</v>
      </c>
      <c r="J189" t="s">
        <v>138</v>
      </c>
      <c r="K189">
        <v>30</v>
      </c>
      <c r="L189" s="6">
        <v>79000</v>
      </c>
      <c r="M189" s="6">
        <v>43000</v>
      </c>
      <c r="N189" s="6">
        <f t="shared" si="21"/>
        <v>41000</v>
      </c>
      <c r="O189" s="6">
        <f t="shared" si="24"/>
        <v>38130</v>
      </c>
      <c r="P189" s="4">
        <f t="shared" si="14"/>
        <v>0.51734177215189869</v>
      </c>
      <c r="Q189" s="12">
        <f t="shared" si="25"/>
        <v>38130</v>
      </c>
      <c r="R189" s="13">
        <f t="shared" si="15"/>
        <v>0.51734177215189869</v>
      </c>
    </row>
    <row r="190" spans="2:20">
      <c r="B190" s="2">
        <v>81</v>
      </c>
      <c r="C190" s="2">
        <v>25</v>
      </c>
      <c r="D190" s="2">
        <v>3</v>
      </c>
      <c r="E190" s="2" t="s">
        <v>385</v>
      </c>
      <c r="F190" s="2" t="s">
        <v>386</v>
      </c>
      <c r="G190" s="2">
        <v>13</v>
      </c>
      <c r="H190" t="s">
        <v>137</v>
      </c>
      <c r="I190" t="s">
        <v>249</v>
      </c>
      <c r="J190" t="s">
        <v>138</v>
      </c>
      <c r="K190">
        <v>24</v>
      </c>
      <c r="L190" s="6">
        <v>79000</v>
      </c>
      <c r="M190" s="6">
        <v>43000</v>
      </c>
      <c r="N190" s="6">
        <f t="shared" si="21"/>
        <v>41000</v>
      </c>
      <c r="O190" s="6">
        <f t="shared" si="24"/>
        <v>38130</v>
      </c>
      <c r="P190" s="4">
        <f t="shared" si="14"/>
        <v>0.51734177215189869</v>
      </c>
      <c r="Q190" s="12">
        <f t="shared" si="25"/>
        <v>38130</v>
      </c>
      <c r="R190" s="13">
        <f t="shared" si="15"/>
        <v>0.51734177215189869</v>
      </c>
    </row>
    <row r="191" spans="2:20">
      <c r="B191" s="2">
        <v>82</v>
      </c>
      <c r="C191" s="2">
        <v>25</v>
      </c>
      <c r="D191" s="2">
        <v>3</v>
      </c>
      <c r="E191" s="2" t="s">
        <v>385</v>
      </c>
      <c r="F191" s="2" t="s">
        <v>386</v>
      </c>
      <c r="G191" s="2">
        <v>13</v>
      </c>
      <c r="H191" t="s">
        <v>180</v>
      </c>
      <c r="I191" t="s">
        <v>250</v>
      </c>
      <c r="J191" t="s">
        <v>181</v>
      </c>
      <c r="K191">
        <v>21</v>
      </c>
      <c r="L191" s="6">
        <v>59000</v>
      </c>
      <c r="M191" s="6">
        <v>30000</v>
      </c>
      <c r="N191" s="6">
        <f t="shared" si="21"/>
        <v>28000</v>
      </c>
      <c r="O191" s="6">
        <f t="shared" si="24"/>
        <v>26040</v>
      </c>
      <c r="P191" s="4">
        <f t="shared" si="14"/>
        <v>0.55864406779661024</v>
      </c>
      <c r="Q191" s="12">
        <f t="shared" si="25"/>
        <v>26040</v>
      </c>
      <c r="R191" s="13">
        <f t="shared" si="15"/>
        <v>0.55864406779661024</v>
      </c>
    </row>
    <row r="192" spans="2:20">
      <c r="B192" s="2">
        <v>82</v>
      </c>
      <c r="C192" s="2">
        <v>25</v>
      </c>
      <c r="D192" s="2">
        <v>3</v>
      </c>
      <c r="E192" s="2" t="s">
        <v>385</v>
      </c>
      <c r="F192" s="2" t="s">
        <v>386</v>
      </c>
      <c r="G192" s="2">
        <v>13</v>
      </c>
      <c r="H192" t="s">
        <v>180</v>
      </c>
      <c r="I192" t="s">
        <v>251</v>
      </c>
      <c r="J192" t="s">
        <v>181</v>
      </c>
      <c r="K192">
        <v>0</v>
      </c>
      <c r="L192" s="6">
        <v>59000</v>
      </c>
      <c r="M192" s="6">
        <v>30000</v>
      </c>
      <c r="N192" s="6">
        <f t="shared" ref="N192:N217" si="26">M192-2000</f>
        <v>28000</v>
      </c>
      <c r="O192" s="6">
        <f t="shared" si="24"/>
        <v>26040</v>
      </c>
      <c r="P192" s="4">
        <f t="shared" si="14"/>
        <v>0.55864406779661024</v>
      </c>
      <c r="Q192" s="12">
        <f t="shared" si="25"/>
        <v>26040</v>
      </c>
      <c r="R192" s="13">
        <f t="shared" si="15"/>
        <v>0.55864406779661024</v>
      </c>
    </row>
    <row r="193" spans="2:18">
      <c r="B193" s="2">
        <v>83</v>
      </c>
      <c r="C193" s="2">
        <v>25</v>
      </c>
      <c r="D193" s="2">
        <v>3</v>
      </c>
      <c r="E193" s="2" t="s">
        <v>385</v>
      </c>
      <c r="F193" s="2" t="s">
        <v>386</v>
      </c>
      <c r="G193" s="2">
        <v>13</v>
      </c>
      <c r="H193" t="s">
        <v>179</v>
      </c>
      <c r="I193" t="s">
        <v>252</v>
      </c>
      <c r="J193" t="s">
        <v>178</v>
      </c>
      <c r="K193">
        <v>37</v>
      </c>
      <c r="L193" s="6">
        <v>59000</v>
      </c>
      <c r="M193" s="6">
        <v>30000</v>
      </c>
      <c r="N193" s="6">
        <f t="shared" si="26"/>
        <v>28000</v>
      </c>
      <c r="O193" s="6">
        <f t="shared" si="24"/>
        <v>26040</v>
      </c>
      <c r="P193" s="4">
        <f t="shared" si="14"/>
        <v>0.55864406779661024</v>
      </c>
      <c r="Q193" s="12">
        <f t="shared" si="25"/>
        <v>26040</v>
      </c>
      <c r="R193" s="13">
        <f t="shared" si="15"/>
        <v>0.55864406779661024</v>
      </c>
    </row>
    <row r="194" spans="2:18">
      <c r="B194" s="2">
        <v>83</v>
      </c>
      <c r="C194" s="2">
        <v>25</v>
      </c>
      <c r="D194" s="2">
        <v>3</v>
      </c>
      <c r="E194" s="2" t="s">
        <v>385</v>
      </c>
      <c r="F194" s="2" t="s">
        <v>386</v>
      </c>
      <c r="G194" s="2">
        <v>13</v>
      </c>
      <c r="H194" t="s">
        <v>179</v>
      </c>
      <c r="I194" t="s">
        <v>253</v>
      </c>
      <c r="J194" t="s">
        <v>178</v>
      </c>
      <c r="K194">
        <v>33</v>
      </c>
      <c r="L194" s="6">
        <v>59000</v>
      </c>
      <c r="M194" s="6">
        <v>30000</v>
      </c>
      <c r="N194" s="6">
        <f t="shared" si="26"/>
        <v>28000</v>
      </c>
      <c r="O194" s="6">
        <f t="shared" si="24"/>
        <v>26040</v>
      </c>
      <c r="P194" s="4">
        <f t="shared" si="14"/>
        <v>0.55864406779661024</v>
      </c>
      <c r="Q194" s="12">
        <f t="shared" si="25"/>
        <v>26040</v>
      </c>
      <c r="R194" s="13">
        <f t="shared" si="15"/>
        <v>0.55864406779661024</v>
      </c>
    </row>
    <row r="195" spans="2:18">
      <c r="B195" s="2">
        <v>83</v>
      </c>
      <c r="C195" s="2">
        <v>25</v>
      </c>
      <c r="D195" s="2">
        <v>3</v>
      </c>
      <c r="E195" s="2" t="s">
        <v>385</v>
      </c>
      <c r="F195" s="2" t="s">
        <v>386</v>
      </c>
      <c r="G195" s="2">
        <v>13</v>
      </c>
      <c r="H195" t="s">
        <v>179</v>
      </c>
      <c r="I195" t="s">
        <v>254</v>
      </c>
      <c r="J195" t="s">
        <v>178</v>
      </c>
      <c r="K195">
        <v>22</v>
      </c>
      <c r="L195" s="6">
        <v>59000</v>
      </c>
      <c r="M195" s="6">
        <v>30000</v>
      </c>
      <c r="N195" s="6">
        <f t="shared" si="26"/>
        <v>28000</v>
      </c>
      <c r="O195" s="6">
        <f t="shared" si="24"/>
        <v>26040</v>
      </c>
      <c r="P195" s="4">
        <f t="shared" si="14"/>
        <v>0.55864406779661024</v>
      </c>
      <c r="Q195" s="12">
        <f t="shared" si="25"/>
        <v>26040</v>
      </c>
      <c r="R195" s="13">
        <f t="shared" si="15"/>
        <v>0.55864406779661024</v>
      </c>
    </row>
    <row r="196" spans="2:18">
      <c r="B196" s="2">
        <v>84</v>
      </c>
      <c r="C196" s="2">
        <v>25</v>
      </c>
      <c r="D196" s="2">
        <v>3</v>
      </c>
      <c r="E196" s="2" t="s">
        <v>385</v>
      </c>
      <c r="F196" s="2" t="s">
        <v>386</v>
      </c>
      <c r="G196" s="2">
        <v>13</v>
      </c>
      <c r="H196" t="s">
        <v>108</v>
      </c>
      <c r="I196" t="s">
        <v>255</v>
      </c>
      <c r="J196" t="s">
        <v>106</v>
      </c>
      <c r="K196">
        <v>24</v>
      </c>
      <c r="L196" s="6">
        <v>59000</v>
      </c>
      <c r="M196" s="6">
        <v>30000</v>
      </c>
      <c r="N196" s="6">
        <f t="shared" si="26"/>
        <v>28000</v>
      </c>
      <c r="O196" s="6">
        <f t="shared" si="24"/>
        <v>26040</v>
      </c>
      <c r="P196" s="4">
        <f t="shared" si="14"/>
        <v>0.55864406779661024</v>
      </c>
      <c r="Q196" s="12">
        <f t="shared" si="25"/>
        <v>26040</v>
      </c>
      <c r="R196" s="13">
        <f t="shared" si="15"/>
        <v>0.55864406779661024</v>
      </c>
    </row>
    <row r="197" spans="2:18">
      <c r="B197" s="2">
        <v>84</v>
      </c>
      <c r="C197" s="2">
        <v>25</v>
      </c>
      <c r="D197" s="2">
        <v>3</v>
      </c>
      <c r="E197" s="2" t="s">
        <v>385</v>
      </c>
      <c r="F197" s="2" t="s">
        <v>386</v>
      </c>
      <c r="G197" s="2">
        <v>13</v>
      </c>
      <c r="H197" t="s">
        <v>108</v>
      </c>
      <c r="I197" t="s">
        <v>256</v>
      </c>
      <c r="J197" t="s">
        <v>106</v>
      </c>
      <c r="K197">
        <v>57</v>
      </c>
      <c r="L197" s="6">
        <v>59000</v>
      </c>
      <c r="M197" s="6">
        <v>30000</v>
      </c>
      <c r="N197" s="6">
        <f t="shared" si="26"/>
        <v>28000</v>
      </c>
      <c r="O197" s="6">
        <f t="shared" si="24"/>
        <v>26040</v>
      </c>
      <c r="P197" s="4">
        <f t="shared" si="14"/>
        <v>0.55864406779661024</v>
      </c>
      <c r="Q197" s="12">
        <f t="shared" si="25"/>
        <v>26040</v>
      </c>
      <c r="R197" s="13">
        <f t="shared" si="15"/>
        <v>0.55864406779661024</v>
      </c>
    </row>
    <row r="198" spans="2:18">
      <c r="B198" s="2">
        <v>85</v>
      </c>
      <c r="C198" s="2">
        <v>26</v>
      </c>
      <c r="D198" s="2">
        <v>3</v>
      </c>
      <c r="E198" s="2" t="s">
        <v>385</v>
      </c>
      <c r="F198" s="2" t="s">
        <v>386</v>
      </c>
      <c r="G198" s="2">
        <v>13</v>
      </c>
      <c r="H198" t="s">
        <v>162</v>
      </c>
      <c r="I198" t="s">
        <v>334</v>
      </c>
      <c r="J198" t="s">
        <v>163</v>
      </c>
      <c r="K198">
        <v>257</v>
      </c>
      <c r="L198" s="6">
        <v>59000</v>
      </c>
      <c r="M198" s="6">
        <v>47000</v>
      </c>
      <c r="N198" s="6">
        <f t="shared" si="26"/>
        <v>45000</v>
      </c>
      <c r="O198" s="6">
        <f t="shared" si="24"/>
        <v>41850</v>
      </c>
      <c r="P198" s="4">
        <f t="shared" si="14"/>
        <v>0.29067796610169494</v>
      </c>
      <c r="Q198" s="12">
        <f t="shared" si="25"/>
        <v>41850</v>
      </c>
      <c r="R198" s="13">
        <f t="shared" si="15"/>
        <v>0.29067796610169494</v>
      </c>
    </row>
    <row r="199" spans="2:18">
      <c r="B199" s="2">
        <v>85</v>
      </c>
      <c r="C199" s="2">
        <v>26</v>
      </c>
      <c r="D199" s="2">
        <v>3</v>
      </c>
      <c r="E199" s="2" t="s">
        <v>385</v>
      </c>
      <c r="F199" s="2" t="s">
        <v>386</v>
      </c>
      <c r="G199" s="2">
        <v>13</v>
      </c>
      <c r="H199" t="s">
        <v>162</v>
      </c>
      <c r="I199" t="s">
        <v>335</v>
      </c>
      <c r="J199" t="s">
        <v>163</v>
      </c>
      <c r="K199">
        <v>204</v>
      </c>
      <c r="L199" s="6">
        <v>59000</v>
      </c>
      <c r="M199" s="6">
        <v>47000</v>
      </c>
      <c r="N199" s="6">
        <f t="shared" si="26"/>
        <v>45000</v>
      </c>
      <c r="O199" s="6">
        <f t="shared" si="24"/>
        <v>41850</v>
      </c>
      <c r="P199" s="4">
        <f t="shared" si="14"/>
        <v>0.29067796610169494</v>
      </c>
      <c r="Q199" s="12">
        <f t="shared" si="25"/>
        <v>41850</v>
      </c>
      <c r="R199" s="13">
        <f t="shared" si="15"/>
        <v>0.29067796610169494</v>
      </c>
    </row>
    <row r="200" spans="2:18">
      <c r="B200" s="2">
        <v>85</v>
      </c>
      <c r="C200" s="2">
        <v>26</v>
      </c>
      <c r="D200" s="2">
        <v>3</v>
      </c>
      <c r="E200" s="2" t="s">
        <v>385</v>
      </c>
      <c r="F200" s="2" t="s">
        <v>386</v>
      </c>
      <c r="G200" s="2">
        <v>13</v>
      </c>
      <c r="H200" t="s">
        <v>162</v>
      </c>
      <c r="I200" t="s">
        <v>336</v>
      </c>
      <c r="J200" t="s">
        <v>163</v>
      </c>
      <c r="K200">
        <v>260</v>
      </c>
      <c r="L200" s="6">
        <v>59000</v>
      </c>
      <c r="M200" s="6">
        <v>47000</v>
      </c>
      <c r="N200" s="6">
        <f t="shared" si="26"/>
        <v>45000</v>
      </c>
      <c r="O200" s="6">
        <f t="shared" si="24"/>
        <v>41850</v>
      </c>
      <c r="P200" s="4">
        <f t="shared" si="14"/>
        <v>0.29067796610169494</v>
      </c>
      <c r="Q200" s="12">
        <f t="shared" si="25"/>
        <v>41850</v>
      </c>
      <c r="R200" s="13">
        <f t="shared" si="15"/>
        <v>0.29067796610169494</v>
      </c>
    </row>
    <row r="201" spans="2:18">
      <c r="B201" s="2">
        <v>86</v>
      </c>
      <c r="C201" s="2">
        <v>26</v>
      </c>
      <c r="D201" s="2">
        <v>3</v>
      </c>
      <c r="E201" s="2" t="s">
        <v>385</v>
      </c>
      <c r="F201" s="2" t="s">
        <v>386</v>
      </c>
      <c r="G201" s="2">
        <v>13</v>
      </c>
      <c r="H201" t="s">
        <v>103</v>
      </c>
      <c r="I201" t="s">
        <v>340</v>
      </c>
      <c r="J201" t="s">
        <v>104</v>
      </c>
      <c r="K201">
        <v>172</v>
      </c>
      <c r="L201" s="6">
        <v>59000</v>
      </c>
      <c r="M201" s="6">
        <v>47000</v>
      </c>
      <c r="N201" s="6">
        <f t="shared" si="26"/>
        <v>45000</v>
      </c>
      <c r="O201" s="6">
        <f t="shared" si="24"/>
        <v>41850</v>
      </c>
      <c r="P201" s="4">
        <f t="shared" ref="P201:P228" si="27">1-O201/L201</f>
        <v>0.29067796610169494</v>
      </c>
      <c r="Q201" s="12">
        <f t="shared" si="25"/>
        <v>41850</v>
      </c>
      <c r="R201" s="13">
        <f t="shared" ref="R201:R228" si="28">1-Q201/L201</f>
        <v>0.29067796610169494</v>
      </c>
    </row>
    <row r="202" spans="2:18">
      <c r="B202" s="2">
        <v>86</v>
      </c>
      <c r="C202" s="2">
        <v>26</v>
      </c>
      <c r="D202" s="2">
        <v>3</v>
      </c>
      <c r="E202" s="2" t="s">
        <v>385</v>
      </c>
      <c r="F202" s="2" t="s">
        <v>386</v>
      </c>
      <c r="G202" s="2">
        <v>13</v>
      </c>
      <c r="H202" t="s">
        <v>103</v>
      </c>
      <c r="I202" t="s">
        <v>341</v>
      </c>
      <c r="J202" t="s">
        <v>104</v>
      </c>
      <c r="K202">
        <v>171</v>
      </c>
      <c r="L202" s="6">
        <v>59000</v>
      </c>
      <c r="M202" s="6">
        <v>47000</v>
      </c>
      <c r="N202" s="6">
        <f t="shared" si="26"/>
        <v>45000</v>
      </c>
      <c r="O202" s="6">
        <f t="shared" si="24"/>
        <v>41850</v>
      </c>
      <c r="P202" s="4">
        <f t="shared" si="27"/>
        <v>0.29067796610169494</v>
      </c>
      <c r="Q202" s="12">
        <f t="shared" si="25"/>
        <v>41850</v>
      </c>
      <c r="R202" s="13">
        <f t="shared" si="28"/>
        <v>0.29067796610169494</v>
      </c>
    </row>
    <row r="203" spans="2:18">
      <c r="B203" s="2">
        <v>87</v>
      </c>
      <c r="C203" s="2">
        <v>26</v>
      </c>
      <c r="D203" s="2">
        <v>3</v>
      </c>
      <c r="E203" s="2" t="s">
        <v>385</v>
      </c>
      <c r="F203" s="2" t="s">
        <v>386</v>
      </c>
      <c r="G203" s="2">
        <v>13</v>
      </c>
      <c r="H203" t="s">
        <v>160</v>
      </c>
      <c r="I203" t="s">
        <v>337</v>
      </c>
      <c r="J203" t="s">
        <v>161</v>
      </c>
      <c r="K203">
        <v>561</v>
      </c>
      <c r="L203" s="6">
        <v>59000</v>
      </c>
      <c r="M203" s="6">
        <v>47000</v>
      </c>
      <c r="N203" s="6">
        <f t="shared" si="26"/>
        <v>45000</v>
      </c>
      <c r="O203" s="6">
        <f t="shared" si="24"/>
        <v>41850</v>
      </c>
      <c r="P203" s="4">
        <f t="shared" si="27"/>
        <v>0.29067796610169494</v>
      </c>
      <c r="Q203" s="12">
        <f t="shared" si="25"/>
        <v>41850</v>
      </c>
      <c r="R203" s="13">
        <f t="shared" si="28"/>
        <v>0.29067796610169494</v>
      </c>
    </row>
    <row r="204" spans="2:18">
      <c r="B204" s="2">
        <v>87</v>
      </c>
      <c r="C204" s="2">
        <v>26</v>
      </c>
      <c r="D204" s="2">
        <v>3</v>
      </c>
      <c r="E204" s="2" t="s">
        <v>385</v>
      </c>
      <c r="F204" s="2" t="s">
        <v>386</v>
      </c>
      <c r="G204" s="2">
        <v>13</v>
      </c>
      <c r="H204" t="s">
        <v>160</v>
      </c>
      <c r="I204" t="s">
        <v>338</v>
      </c>
      <c r="J204" t="s">
        <v>161</v>
      </c>
      <c r="K204">
        <v>637</v>
      </c>
      <c r="L204" s="6">
        <v>59000</v>
      </c>
      <c r="M204" s="6">
        <v>47000</v>
      </c>
      <c r="N204" s="6">
        <f t="shared" si="26"/>
        <v>45000</v>
      </c>
      <c r="O204" s="6">
        <f t="shared" si="24"/>
        <v>41850</v>
      </c>
      <c r="P204" s="4">
        <f t="shared" si="27"/>
        <v>0.29067796610169494</v>
      </c>
      <c r="Q204" s="12">
        <f t="shared" si="25"/>
        <v>41850</v>
      </c>
      <c r="R204" s="13">
        <f t="shared" si="28"/>
        <v>0.29067796610169494</v>
      </c>
    </row>
    <row r="205" spans="2:18">
      <c r="B205" s="2">
        <v>87</v>
      </c>
      <c r="C205" s="2">
        <v>26</v>
      </c>
      <c r="D205" s="2">
        <v>3</v>
      </c>
      <c r="E205" s="2" t="s">
        <v>385</v>
      </c>
      <c r="F205" s="2" t="s">
        <v>386</v>
      </c>
      <c r="G205" s="2">
        <v>13</v>
      </c>
      <c r="H205" t="s">
        <v>160</v>
      </c>
      <c r="I205" t="s">
        <v>339</v>
      </c>
      <c r="J205" t="s">
        <v>161</v>
      </c>
      <c r="K205">
        <v>462</v>
      </c>
      <c r="L205" s="6">
        <v>59000</v>
      </c>
      <c r="M205" s="6">
        <v>47000</v>
      </c>
      <c r="N205" s="6">
        <f t="shared" si="26"/>
        <v>45000</v>
      </c>
      <c r="O205" s="6">
        <f t="shared" si="24"/>
        <v>41850</v>
      </c>
      <c r="P205" s="4">
        <f t="shared" si="27"/>
        <v>0.29067796610169494</v>
      </c>
      <c r="Q205" s="12">
        <f t="shared" si="25"/>
        <v>41850</v>
      </c>
      <c r="R205" s="13">
        <f t="shared" si="28"/>
        <v>0.29067796610169494</v>
      </c>
    </row>
    <row r="206" spans="2:18">
      <c r="B206" s="2">
        <v>88</v>
      </c>
      <c r="C206" s="2">
        <v>25</v>
      </c>
      <c r="D206" s="2">
        <v>1</v>
      </c>
      <c r="E206" s="2" t="s">
        <v>400</v>
      </c>
      <c r="F206" s="2" t="s">
        <v>401</v>
      </c>
      <c r="G206" s="2">
        <v>14</v>
      </c>
      <c r="H206" t="s">
        <v>17</v>
      </c>
      <c r="I206" t="s">
        <v>221</v>
      </c>
      <c r="J206" t="s">
        <v>18</v>
      </c>
      <c r="K206">
        <v>30</v>
      </c>
      <c r="L206" s="6">
        <v>89000</v>
      </c>
      <c r="M206" s="6">
        <v>48000</v>
      </c>
      <c r="N206" s="6">
        <f t="shared" si="26"/>
        <v>46000</v>
      </c>
      <c r="O206" s="6">
        <f t="shared" si="24"/>
        <v>42780</v>
      </c>
      <c r="P206" s="4">
        <f t="shared" si="27"/>
        <v>0.51932584269662918</v>
      </c>
      <c r="Q206" s="12">
        <f t="shared" si="25"/>
        <v>42780</v>
      </c>
      <c r="R206" s="13">
        <f t="shared" si="28"/>
        <v>0.51932584269662918</v>
      </c>
    </row>
    <row r="207" spans="2:18">
      <c r="B207" s="2">
        <v>88</v>
      </c>
      <c r="C207" s="2">
        <v>25</v>
      </c>
      <c r="D207" s="2">
        <v>1</v>
      </c>
      <c r="E207" s="2" t="s">
        <v>400</v>
      </c>
      <c r="F207" s="2" t="s">
        <v>401</v>
      </c>
      <c r="G207" s="2">
        <v>14</v>
      </c>
      <c r="H207" t="s">
        <v>17</v>
      </c>
      <c r="I207" t="s">
        <v>222</v>
      </c>
      <c r="J207" t="s">
        <v>18</v>
      </c>
      <c r="K207">
        <v>28</v>
      </c>
      <c r="L207" s="6">
        <v>89000</v>
      </c>
      <c r="M207" s="6">
        <v>48000</v>
      </c>
      <c r="N207" s="6">
        <f t="shared" si="26"/>
        <v>46000</v>
      </c>
      <c r="O207" s="6">
        <f t="shared" si="24"/>
        <v>42780</v>
      </c>
      <c r="P207" s="4">
        <f t="shared" si="27"/>
        <v>0.51932584269662918</v>
      </c>
      <c r="Q207" s="12">
        <f t="shared" si="25"/>
        <v>42780</v>
      </c>
      <c r="R207" s="13">
        <f t="shared" si="28"/>
        <v>0.51932584269662918</v>
      </c>
    </row>
    <row r="208" spans="2:18">
      <c r="B208" s="2">
        <v>89</v>
      </c>
      <c r="C208" s="2">
        <v>26</v>
      </c>
      <c r="D208" s="2">
        <v>1</v>
      </c>
      <c r="E208" s="2" t="s">
        <v>400</v>
      </c>
      <c r="F208" s="2" t="s">
        <v>401</v>
      </c>
      <c r="G208" s="2">
        <v>14</v>
      </c>
      <c r="H208" t="s">
        <v>188</v>
      </c>
      <c r="I208" t="s">
        <v>297</v>
      </c>
      <c r="J208" t="s">
        <v>189</v>
      </c>
      <c r="K208">
        <v>57</v>
      </c>
      <c r="L208" s="6">
        <v>89000</v>
      </c>
      <c r="M208" s="6">
        <v>48000</v>
      </c>
      <c r="N208" s="6">
        <f t="shared" si="26"/>
        <v>46000</v>
      </c>
      <c r="O208" s="6">
        <f t="shared" si="24"/>
        <v>42780</v>
      </c>
      <c r="P208" s="4">
        <f t="shared" si="27"/>
        <v>0.51932584269662918</v>
      </c>
      <c r="Q208" s="12">
        <f t="shared" si="25"/>
        <v>42780</v>
      </c>
      <c r="R208" s="13">
        <f t="shared" si="28"/>
        <v>0.51932584269662918</v>
      </c>
    </row>
    <row r="209" spans="2:18">
      <c r="B209" s="2">
        <v>90</v>
      </c>
      <c r="C209" s="2">
        <v>25</v>
      </c>
      <c r="D209" s="2">
        <v>1</v>
      </c>
      <c r="E209" s="2" t="s">
        <v>402</v>
      </c>
      <c r="F209" s="2" t="s">
        <v>403</v>
      </c>
      <c r="G209" s="2">
        <v>15</v>
      </c>
      <c r="H209" t="s">
        <v>131</v>
      </c>
      <c r="I209" t="s">
        <v>232</v>
      </c>
      <c r="J209" t="s">
        <v>132</v>
      </c>
      <c r="K209">
        <v>76</v>
      </c>
      <c r="L209" s="6">
        <v>49000</v>
      </c>
      <c r="M209" s="6">
        <v>26000</v>
      </c>
      <c r="N209" s="6">
        <f t="shared" si="26"/>
        <v>24000</v>
      </c>
      <c r="O209" s="6">
        <f t="shared" si="24"/>
        <v>22320</v>
      </c>
      <c r="P209" s="4">
        <f t="shared" si="27"/>
        <v>0.54448979591836733</v>
      </c>
      <c r="Q209" s="12">
        <f t="shared" si="25"/>
        <v>22320</v>
      </c>
      <c r="R209" s="13">
        <f t="shared" si="28"/>
        <v>0.54448979591836733</v>
      </c>
    </row>
    <row r="210" spans="2:18">
      <c r="B210" s="2">
        <v>90</v>
      </c>
      <c r="C210" s="2">
        <v>25</v>
      </c>
      <c r="D210" s="2">
        <v>1</v>
      </c>
      <c r="E210" s="2" t="s">
        <v>402</v>
      </c>
      <c r="F210" s="2" t="s">
        <v>403</v>
      </c>
      <c r="G210" s="2">
        <v>15</v>
      </c>
      <c r="H210" t="s">
        <v>131</v>
      </c>
      <c r="I210" t="s">
        <v>233</v>
      </c>
      <c r="J210" t="s">
        <v>132</v>
      </c>
      <c r="K210">
        <v>38</v>
      </c>
      <c r="L210" s="6">
        <v>49000</v>
      </c>
      <c r="M210" s="6">
        <v>26000</v>
      </c>
      <c r="N210" s="6">
        <f t="shared" si="26"/>
        <v>24000</v>
      </c>
      <c r="O210" s="6">
        <f t="shared" si="24"/>
        <v>22320</v>
      </c>
      <c r="P210" s="4">
        <f t="shared" si="27"/>
        <v>0.54448979591836733</v>
      </c>
      <c r="Q210" s="12">
        <f t="shared" si="25"/>
        <v>22320</v>
      </c>
      <c r="R210" s="13">
        <f t="shared" si="28"/>
        <v>0.54448979591836733</v>
      </c>
    </row>
    <row r="211" spans="2:18">
      <c r="B211" s="2">
        <v>91</v>
      </c>
      <c r="C211" s="2">
        <v>26</v>
      </c>
      <c r="D211" s="2">
        <v>1</v>
      </c>
      <c r="E211" s="2" t="s">
        <v>402</v>
      </c>
      <c r="F211" s="2" t="s">
        <v>403</v>
      </c>
      <c r="G211" s="2">
        <v>15</v>
      </c>
      <c r="H211" t="s">
        <v>99</v>
      </c>
      <c r="I211" t="s">
        <v>311</v>
      </c>
      <c r="J211" t="s">
        <v>100</v>
      </c>
      <c r="K211">
        <v>46</v>
      </c>
      <c r="L211" s="6">
        <v>69000</v>
      </c>
      <c r="M211" s="6">
        <v>37000</v>
      </c>
      <c r="N211" s="6">
        <f t="shared" si="26"/>
        <v>35000</v>
      </c>
      <c r="O211" s="6">
        <f t="shared" si="24"/>
        <v>32550</v>
      </c>
      <c r="P211" s="4">
        <f t="shared" si="27"/>
        <v>0.52826086956521734</v>
      </c>
      <c r="Q211" s="12">
        <f t="shared" si="25"/>
        <v>32550</v>
      </c>
      <c r="R211" s="13">
        <f t="shared" si="28"/>
        <v>0.52826086956521734</v>
      </c>
    </row>
    <row r="212" spans="2:18">
      <c r="B212" s="2">
        <v>92</v>
      </c>
      <c r="C212" s="2">
        <v>25</v>
      </c>
      <c r="D212" s="2">
        <v>0</v>
      </c>
      <c r="E212" s="2" t="s">
        <v>412</v>
      </c>
      <c r="F212" s="2" t="s">
        <v>410</v>
      </c>
      <c r="G212" s="2">
        <v>16</v>
      </c>
      <c r="H212" t="s">
        <v>31</v>
      </c>
      <c r="I212" t="s">
        <v>292</v>
      </c>
      <c r="J212" t="s">
        <v>30</v>
      </c>
      <c r="K212">
        <v>110</v>
      </c>
      <c r="L212" s="6">
        <v>45000</v>
      </c>
      <c r="M212" s="6">
        <v>24000</v>
      </c>
      <c r="N212" s="6">
        <f t="shared" si="26"/>
        <v>22000</v>
      </c>
      <c r="O212" s="6">
        <f t="shared" si="24"/>
        <v>20460</v>
      </c>
      <c r="P212" s="4">
        <f t="shared" si="27"/>
        <v>0.54533333333333334</v>
      </c>
      <c r="Q212" s="12">
        <f t="shared" si="25"/>
        <v>20460</v>
      </c>
      <c r="R212" s="13">
        <f t="shared" si="28"/>
        <v>0.54533333333333334</v>
      </c>
    </row>
    <row r="213" spans="2:18">
      <c r="B213" s="2">
        <v>92</v>
      </c>
      <c r="C213" s="2">
        <v>25</v>
      </c>
      <c r="D213" s="2">
        <v>0</v>
      </c>
      <c r="E213" s="2" t="s">
        <v>412</v>
      </c>
      <c r="F213" s="2" t="s">
        <v>410</v>
      </c>
      <c r="G213" s="2">
        <v>16</v>
      </c>
      <c r="H213" t="s">
        <v>31</v>
      </c>
      <c r="I213" t="s">
        <v>293</v>
      </c>
      <c r="J213" t="s">
        <v>30</v>
      </c>
      <c r="K213">
        <v>99</v>
      </c>
      <c r="L213" s="6">
        <v>45000</v>
      </c>
      <c r="M213" s="6">
        <v>24000</v>
      </c>
      <c r="N213" s="6">
        <f t="shared" si="26"/>
        <v>22000</v>
      </c>
      <c r="O213" s="6">
        <f t="shared" si="24"/>
        <v>20460</v>
      </c>
      <c r="P213" s="4">
        <f t="shared" si="27"/>
        <v>0.54533333333333334</v>
      </c>
      <c r="Q213" s="12">
        <f t="shared" si="25"/>
        <v>20460</v>
      </c>
      <c r="R213" s="13">
        <f t="shared" si="28"/>
        <v>0.54533333333333334</v>
      </c>
    </row>
    <row r="214" spans="2:18">
      <c r="B214" s="2">
        <v>93</v>
      </c>
      <c r="C214" s="2">
        <v>24</v>
      </c>
      <c r="D214" s="2">
        <v>5</v>
      </c>
      <c r="E214" s="2" t="s">
        <v>412</v>
      </c>
      <c r="F214" s="2" t="s">
        <v>410</v>
      </c>
      <c r="G214" s="2">
        <v>16</v>
      </c>
      <c r="H214" t="s">
        <v>68</v>
      </c>
      <c r="I214" t="s">
        <v>216</v>
      </c>
      <c r="J214" t="s">
        <v>69</v>
      </c>
      <c r="K214">
        <v>65</v>
      </c>
      <c r="L214" s="6">
        <v>39000</v>
      </c>
      <c r="M214" s="6">
        <v>24000</v>
      </c>
      <c r="N214" s="6">
        <f t="shared" si="26"/>
        <v>22000</v>
      </c>
      <c r="O214" s="6">
        <f t="shared" si="24"/>
        <v>20460</v>
      </c>
      <c r="P214" s="4">
        <f t="shared" si="27"/>
        <v>0.47538461538461541</v>
      </c>
      <c r="Q214" s="12">
        <f t="shared" si="25"/>
        <v>20460</v>
      </c>
      <c r="R214" s="13">
        <f t="shared" si="28"/>
        <v>0.47538461538461541</v>
      </c>
    </row>
    <row r="215" spans="2:18">
      <c r="B215" s="2">
        <v>93</v>
      </c>
      <c r="C215" s="2">
        <v>24</v>
      </c>
      <c r="D215" s="2">
        <v>5</v>
      </c>
      <c r="E215" s="2" t="s">
        <v>412</v>
      </c>
      <c r="F215" s="2" t="s">
        <v>410</v>
      </c>
      <c r="G215" s="2">
        <v>16</v>
      </c>
      <c r="H215" t="s">
        <v>68</v>
      </c>
      <c r="I215" t="s">
        <v>217</v>
      </c>
      <c r="J215" t="s">
        <v>69</v>
      </c>
      <c r="K215">
        <v>114</v>
      </c>
      <c r="L215" s="6">
        <v>39000</v>
      </c>
      <c r="M215" s="6">
        <v>24000</v>
      </c>
      <c r="N215" s="6">
        <f t="shared" si="26"/>
        <v>22000</v>
      </c>
      <c r="O215" s="6">
        <f t="shared" si="24"/>
        <v>20460</v>
      </c>
      <c r="P215" s="4">
        <f t="shared" si="27"/>
        <v>0.47538461538461541</v>
      </c>
      <c r="Q215" s="12">
        <f t="shared" si="25"/>
        <v>20460</v>
      </c>
      <c r="R215" s="13">
        <f t="shared" si="28"/>
        <v>0.47538461538461541</v>
      </c>
    </row>
    <row r="216" spans="2:18">
      <c r="B216" s="2">
        <v>94</v>
      </c>
      <c r="C216" s="2">
        <v>25</v>
      </c>
      <c r="D216" s="2">
        <v>5</v>
      </c>
      <c r="E216" s="2" t="s">
        <v>413</v>
      </c>
      <c r="F216" s="2" t="s">
        <v>410</v>
      </c>
      <c r="G216" s="2">
        <v>16</v>
      </c>
      <c r="H216" t="s">
        <v>168</v>
      </c>
      <c r="I216" t="s">
        <v>285</v>
      </c>
      <c r="J216" t="s">
        <v>169</v>
      </c>
      <c r="K216">
        <v>153</v>
      </c>
      <c r="L216" s="6">
        <v>42000</v>
      </c>
      <c r="M216" s="6">
        <v>24000</v>
      </c>
      <c r="N216" s="6">
        <f t="shared" si="26"/>
        <v>22000</v>
      </c>
      <c r="O216" s="6">
        <f t="shared" si="24"/>
        <v>20460</v>
      </c>
      <c r="P216" s="4">
        <f t="shared" si="27"/>
        <v>0.5128571428571429</v>
      </c>
      <c r="Q216" s="12">
        <f t="shared" si="25"/>
        <v>20460</v>
      </c>
      <c r="R216" s="13">
        <f t="shared" si="28"/>
        <v>0.5128571428571429</v>
      </c>
    </row>
    <row r="217" spans="2:18">
      <c r="B217" s="2">
        <v>94</v>
      </c>
      <c r="C217" s="2">
        <v>25</v>
      </c>
      <c r="D217" s="2">
        <v>5</v>
      </c>
      <c r="E217" s="2" t="s">
        <v>412</v>
      </c>
      <c r="F217" s="2" t="s">
        <v>410</v>
      </c>
      <c r="G217" s="2">
        <v>16</v>
      </c>
      <c r="H217" t="s">
        <v>168</v>
      </c>
      <c r="I217" t="s">
        <v>286</v>
      </c>
      <c r="J217" t="s">
        <v>169</v>
      </c>
      <c r="K217">
        <v>153</v>
      </c>
      <c r="L217" s="6">
        <v>42000</v>
      </c>
      <c r="M217" s="6">
        <v>24000</v>
      </c>
      <c r="N217" s="6">
        <f t="shared" si="26"/>
        <v>22000</v>
      </c>
      <c r="O217" s="6">
        <f t="shared" si="24"/>
        <v>20460</v>
      </c>
      <c r="P217" s="4">
        <f t="shared" si="27"/>
        <v>0.5128571428571429</v>
      </c>
      <c r="Q217" s="12">
        <f t="shared" si="25"/>
        <v>20460</v>
      </c>
      <c r="R217" s="13">
        <f t="shared" si="28"/>
        <v>0.5128571428571429</v>
      </c>
    </row>
    <row r="218" spans="2:18">
      <c r="B218" s="2">
        <v>95</v>
      </c>
      <c r="C218" s="2">
        <v>25</v>
      </c>
      <c r="D218" s="2">
        <v>0</v>
      </c>
      <c r="E218" s="2" t="s">
        <v>413</v>
      </c>
      <c r="F218" s="2" t="s">
        <v>411</v>
      </c>
      <c r="G218" s="2">
        <v>17</v>
      </c>
      <c r="H218" t="s">
        <v>72</v>
      </c>
      <c r="I218" t="s">
        <v>294</v>
      </c>
      <c r="J218" t="s">
        <v>73</v>
      </c>
      <c r="K218">
        <v>52</v>
      </c>
      <c r="L218" s="6">
        <v>6900</v>
      </c>
      <c r="M218" s="6">
        <v>3900</v>
      </c>
      <c r="N218" s="4"/>
      <c r="P218" s="4">
        <f t="shared" si="27"/>
        <v>1</v>
      </c>
      <c r="Q218" s="12">
        <f t="shared" ref="Q218:Q228" si="29">M218</f>
        <v>3900</v>
      </c>
      <c r="R218" s="13">
        <f t="shared" si="28"/>
        <v>0.43478260869565222</v>
      </c>
    </row>
    <row r="219" spans="2:18">
      <c r="B219" s="2">
        <v>95</v>
      </c>
      <c r="C219" s="2">
        <v>25</v>
      </c>
      <c r="D219" s="2">
        <v>0</v>
      </c>
      <c r="E219" s="2" t="s">
        <v>413</v>
      </c>
      <c r="F219" s="2" t="s">
        <v>411</v>
      </c>
      <c r="G219" s="2">
        <v>17</v>
      </c>
      <c r="H219" t="s">
        <v>72</v>
      </c>
      <c r="I219" t="s">
        <v>295</v>
      </c>
      <c r="J219" t="s">
        <v>73</v>
      </c>
      <c r="K219">
        <v>202</v>
      </c>
      <c r="L219" s="6">
        <v>6900</v>
      </c>
      <c r="M219" s="6">
        <v>3900</v>
      </c>
      <c r="N219" s="4"/>
      <c r="P219" s="4">
        <f t="shared" si="27"/>
        <v>1</v>
      </c>
      <c r="Q219" s="12">
        <f t="shared" si="29"/>
        <v>3900</v>
      </c>
      <c r="R219" s="13">
        <f t="shared" si="28"/>
        <v>0.43478260869565222</v>
      </c>
    </row>
    <row r="220" spans="2:18">
      <c r="B220" s="2">
        <v>95</v>
      </c>
      <c r="C220" s="2">
        <v>25</v>
      </c>
      <c r="D220" s="2">
        <v>0</v>
      </c>
      <c r="E220" s="2" t="s">
        <v>413</v>
      </c>
      <c r="F220" s="2" t="s">
        <v>411</v>
      </c>
      <c r="G220" s="2">
        <v>17</v>
      </c>
      <c r="H220" t="s">
        <v>72</v>
      </c>
      <c r="I220" t="s">
        <v>296</v>
      </c>
      <c r="J220" t="s">
        <v>73</v>
      </c>
      <c r="K220">
        <v>107</v>
      </c>
      <c r="L220" s="6">
        <v>6900</v>
      </c>
      <c r="M220" s="6">
        <v>3900</v>
      </c>
      <c r="N220" s="4"/>
      <c r="P220" s="4">
        <f t="shared" si="27"/>
        <v>1</v>
      </c>
      <c r="Q220" s="12">
        <f t="shared" si="29"/>
        <v>3900</v>
      </c>
      <c r="R220" s="13">
        <f t="shared" si="28"/>
        <v>0.43478260869565222</v>
      </c>
    </row>
    <row r="221" spans="2:18">
      <c r="B221" s="2">
        <v>96</v>
      </c>
      <c r="C221" s="2">
        <v>24</v>
      </c>
      <c r="D221" s="2">
        <v>5</v>
      </c>
      <c r="E221" s="2" t="s">
        <v>413</v>
      </c>
      <c r="F221" s="2" t="s">
        <v>411</v>
      </c>
      <c r="G221" s="2">
        <v>17</v>
      </c>
      <c r="H221" t="s">
        <v>164</v>
      </c>
      <c r="I221" t="s">
        <v>218</v>
      </c>
      <c r="J221" t="s">
        <v>165</v>
      </c>
      <c r="K221">
        <v>127</v>
      </c>
      <c r="L221" s="6">
        <v>6900</v>
      </c>
      <c r="M221" s="6">
        <v>3900</v>
      </c>
      <c r="N221" s="4"/>
      <c r="P221" s="4">
        <f t="shared" si="27"/>
        <v>1</v>
      </c>
      <c r="Q221" s="12">
        <f t="shared" si="29"/>
        <v>3900</v>
      </c>
      <c r="R221" s="13">
        <f t="shared" si="28"/>
        <v>0.43478260869565222</v>
      </c>
    </row>
    <row r="222" spans="2:18">
      <c r="B222" s="2">
        <v>96</v>
      </c>
      <c r="C222" s="2">
        <v>24</v>
      </c>
      <c r="D222" s="2">
        <v>5</v>
      </c>
      <c r="E222" s="2" t="s">
        <v>413</v>
      </c>
      <c r="F222" s="2" t="s">
        <v>411</v>
      </c>
      <c r="G222" s="2">
        <v>17</v>
      </c>
      <c r="H222" t="s">
        <v>164</v>
      </c>
      <c r="I222" t="s">
        <v>219</v>
      </c>
      <c r="J222" t="s">
        <v>165</v>
      </c>
      <c r="K222">
        <v>235</v>
      </c>
      <c r="L222" s="6">
        <v>6900</v>
      </c>
      <c r="M222" s="6">
        <v>3900</v>
      </c>
      <c r="N222" s="4"/>
      <c r="P222" s="4">
        <f t="shared" si="27"/>
        <v>1</v>
      </c>
      <c r="Q222" s="12">
        <f t="shared" si="29"/>
        <v>3900</v>
      </c>
      <c r="R222" s="13">
        <f t="shared" si="28"/>
        <v>0.43478260869565222</v>
      </c>
    </row>
    <row r="223" spans="2:18">
      <c r="B223" s="2">
        <v>96</v>
      </c>
      <c r="C223" s="2">
        <v>24</v>
      </c>
      <c r="D223" s="2">
        <v>5</v>
      </c>
      <c r="E223" s="2" t="s">
        <v>413</v>
      </c>
      <c r="F223" s="2" t="s">
        <v>411</v>
      </c>
      <c r="G223" s="2">
        <v>17</v>
      </c>
      <c r="H223" t="s">
        <v>164</v>
      </c>
      <c r="I223" t="s">
        <v>220</v>
      </c>
      <c r="J223" t="s">
        <v>165</v>
      </c>
      <c r="K223">
        <v>334</v>
      </c>
      <c r="L223" s="6">
        <v>6900</v>
      </c>
      <c r="M223" s="6">
        <v>3900</v>
      </c>
      <c r="N223" s="4"/>
      <c r="P223" s="4">
        <f t="shared" si="27"/>
        <v>1</v>
      </c>
      <c r="Q223" s="12">
        <f t="shared" si="29"/>
        <v>3900</v>
      </c>
      <c r="R223" s="13">
        <f t="shared" si="28"/>
        <v>0.43478260869565222</v>
      </c>
    </row>
    <row r="224" spans="2:18">
      <c r="B224" s="2">
        <v>97</v>
      </c>
      <c r="C224" s="2">
        <v>25</v>
      </c>
      <c r="D224" s="2">
        <v>5</v>
      </c>
      <c r="E224" s="2" t="s">
        <v>413</v>
      </c>
      <c r="F224" s="2" t="s">
        <v>411</v>
      </c>
      <c r="G224" s="2">
        <v>17</v>
      </c>
      <c r="H224" t="s">
        <v>74</v>
      </c>
      <c r="I224" t="s">
        <v>287</v>
      </c>
      <c r="J224" t="s">
        <v>73</v>
      </c>
      <c r="K224">
        <v>316</v>
      </c>
      <c r="L224" s="6">
        <v>6900</v>
      </c>
      <c r="M224" s="6">
        <v>3900</v>
      </c>
      <c r="N224" s="4"/>
      <c r="P224" s="4">
        <f t="shared" si="27"/>
        <v>1</v>
      </c>
      <c r="Q224" s="12">
        <f t="shared" si="29"/>
        <v>3900</v>
      </c>
      <c r="R224" s="13">
        <f t="shared" si="28"/>
        <v>0.43478260869565222</v>
      </c>
    </row>
    <row r="225" spans="2:18">
      <c r="B225" s="2">
        <v>97</v>
      </c>
      <c r="C225" s="2">
        <v>25</v>
      </c>
      <c r="D225" s="2">
        <v>5</v>
      </c>
      <c r="E225" s="2" t="s">
        <v>413</v>
      </c>
      <c r="F225" s="2" t="s">
        <v>411</v>
      </c>
      <c r="G225" s="2">
        <v>17</v>
      </c>
      <c r="H225" t="s">
        <v>74</v>
      </c>
      <c r="I225" t="s">
        <v>288</v>
      </c>
      <c r="J225" t="s">
        <v>73</v>
      </c>
      <c r="K225">
        <v>217</v>
      </c>
      <c r="L225" s="6">
        <v>6900</v>
      </c>
      <c r="M225" s="6">
        <v>3900</v>
      </c>
      <c r="N225" s="4"/>
      <c r="P225" s="4">
        <f t="shared" si="27"/>
        <v>1</v>
      </c>
      <c r="Q225" s="12">
        <f t="shared" si="29"/>
        <v>3900</v>
      </c>
      <c r="R225" s="13">
        <f t="shared" si="28"/>
        <v>0.43478260869565222</v>
      </c>
    </row>
    <row r="226" spans="2:18">
      <c r="B226" s="2">
        <v>97</v>
      </c>
      <c r="C226" s="2">
        <v>25</v>
      </c>
      <c r="D226" s="2">
        <v>5</v>
      </c>
      <c r="E226" s="2" t="s">
        <v>413</v>
      </c>
      <c r="F226" s="2" t="s">
        <v>411</v>
      </c>
      <c r="G226" s="2">
        <v>17</v>
      </c>
      <c r="H226" t="s">
        <v>74</v>
      </c>
      <c r="I226" t="s">
        <v>289</v>
      </c>
      <c r="J226" t="s">
        <v>73</v>
      </c>
      <c r="K226">
        <v>243</v>
      </c>
      <c r="L226" s="6">
        <v>6900</v>
      </c>
      <c r="M226" s="6">
        <v>3900</v>
      </c>
      <c r="N226" s="4"/>
      <c r="P226" s="4">
        <f t="shared" si="27"/>
        <v>1</v>
      </c>
      <c r="Q226" s="12">
        <f t="shared" si="29"/>
        <v>3900</v>
      </c>
      <c r="R226" s="13">
        <f t="shared" si="28"/>
        <v>0.43478260869565222</v>
      </c>
    </row>
    <row r="227" spans="2:18">
      <c r="B227" s="2">
        <v>98</v>
      </c>
      <c r="C227" s="2">
        <v>25</v>
      </c>
      <c r="D227" s="2">
        <v>5</v>
      </c>
      <c r="E227" s="2" t="s">
        <v>413</v>
      </c>
      <c r="F227" s="2" t="s">
        <v>411</v>
      </c>
      <c r="G227" s="2">
        <v>17</v>
      </c>
      <c r="H227" t="s">
        <v>60</v>
      </c>
      <c r="I227" t="s">
        <v>290</v>
      </c>
      <c r="J227" t="s">
        <v>61</v>
      </c>
      <c r="K227">
        <v>209</v>
      </c>
      <c r="L227" s="6">
        <v>6900</v>
      </c>
      <c r="M227" s="6">
        <v>3900</v>
      </c>
      <c r="N227" s="4"/>
      <c r="P227" s="4">
        <f t="shared" si="27"/>
        <v>1</v>
      </c>
      <c r="Q227" s="12">
        <f t="shared" si="29"/>
        <v>3900</v>
      </c>
      <c r="R227" s="13">
        <f t="shared" si="28"/>
        <v>0.43478260869565222</v>
      </c>
    </row>
    <row r="228" spans="2:18">
      <c r="B228" s="2">
        <v>98</v>
      </c>
      <c r="C228" s="2">
        <v>25</v>
      </c>
      <c r="D228" s="2">
        <v>5</v>
      </c>
      <c r="E228" s="2" t="s">
        <v>413</v>
      </c>
      <c r="F228" s="2" t="s">
        <v>411</v>
      </c>
      <c r="G228" s="2">
        <v>17</v>
      </c>
      <c r="H228" t="s">
        <v>60</v>
      </c>
      <c r="I228" t="s">
        <v>291</v>
      </c>
      <c r="J228" t="s">
        <v>61</v>
      </c>
      <c r="K228">
        <v>229</v>
      </c>
      <c r="L228" s="6">
        <v>6900</v>
      </c>
      <c r="M228" s="6">
        <v>3900</v>
      </c>
      <c r="N228" s="4"/>
      <c r="P228" s="4">
        <f t="shared" si="27"/>
        <v>1</v>
      </c>
      <c r="Q228" s="12">
        <f t="shared" si="29"/>
        <v>3900</v>
      </c>
      <c r="R228" s="13">
        <f t="shared" si="28"/>
        <v>0.43478260869565222</v>
      </c>
    </row>
    <row r="229" spans="2:18">
      <c r="N229" s="6"/>
    </row>
    <row r="230" spans="2:18">
      <c r="N230" s="6"/>
    </row>
    <row r="231" spans="2:18">
      <c r="N231" s="6"/>
    </row>
    <row r="232" spans="2:18">
      <c r="N232" s="6"/>
    </row>
    <row r="233" spans="2:18">
      <c r="N233" s="6"/>
    </row>
    <row r="234" spans="2:18">
      <c r="N234" s="6"/>
    </row>
    <row r="235" spans="2:18">
      <c r="N235" s="6"/>
    </row>
    <row r="236" spans="2:18">
      <c r="N236" s="6"/>
    </row>
    <row r="237" spans="2:18">
      <c r="N237" s="6"/>
    </row>
    <row r="238" spans="2:18">
      <c r="N238" s="6"/>
    </row>
    <row r="239" spans="2:18">
      <c r="N239" s="6"/>
    </row>
    <row r="240" spans="2:18">
      <c r="N240" s="6"/>
    </row>
    <row r="241" spans="14:14">
      <c r="N241" s="6"/>
    </row>
    <row r="242" spans="14:14">
      <c r="N242" s="6"/>
    </row>
    <row r="243" spans="14:14">
      <c r="N243" s="6"/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46C-D26B-4654-A48C-9F80CF745ED1}">
  <dimension ref="C1:J99"/>
  <sheetViews>
    <sheetView workbookViewId="0">
      <selection activeCell="J2" sqref="J2:J99"/>
    </sheetView>
  </sheetViews>
  <sheetFormatPr baseColWidth="10" defaultColWidth="8.83203125" defaultRowHeight="17"/>
  <cols>
    <col min="3" max="3" width="12.6640625" bestFit="1" customWidth="1"/>
    <col min="9" max="9" width="12.6640625" bestFit="1" customWidth="1"/>
  </cols>
  <sheetData>
    <row r="1" spans="3:10">
      <c r="C1" t="s">
        <v>86</v>
      </c>
      <c r="D1">
        <v>49</v>
      </c>
      <c r="I1" t="s">
        <v>381</v>
      </c>
    </row>
    <row r="2" spans="3:10">
      <c r="C2" t="s">
        <v>92</v>
      </c>
      <c r="D2">
        <v>50</v>
      </c>
      <c r="I2" t="s">
        <v>14</v>
      </c>
      <c r="J2">
        <v>1</v>
      </c>
    </row>
    <row r="3" spans="3:10">
      <c r="C3" t="s">
        <v>90</v>
      </c>
      <c r="D3">
        <v>51</v>
      </c>
      <c r="I3" t="s">
        <v>21</v>
      </c>
      <c r="J3">
        <v>2</v>
      </c>
    </row>
    <row r="4" spans="3:10">
      <c r="C4" t="s">
        <v>79</v>
      </c>
      <c r="D4">
        <v>52</v>
      </c>
      <c r="I4" t="s">
        <v>115</v>
      </c>
      <c r="J4">
        <v>3</v>
      </c>
    </row>
    <row r="5" spans="3:10">
      <c r="C5" t="s">
        <v>63</v>
      </c>
      <c r="D5">
        <v>53</v>
      </c>
      <c r="I5" t="s">
        <v>10</v>
      </c>
      <c r="J5">
        <v>4</v>
      </c>
    </row>
    <row r="6" spans="3:10">
      <c r="C6" t="s">
        <v>37</v>
      </c>
      <c r="D6">
        <v>54</v>
      </c>
      <c r="I6" t="s">
        <v>11</v>
      </c>
      <c r="J6">
        <v>5</v>
      </c>
    </row>
    <row r="7" spans="3:10">
      <c r="C7" t="s">
        <v>47</v>
      </c>
      <c r="D7">
        <v>55</v>
      </c>
      <c r="I7" t="s">
        <v>12</v>
      </c>
      <c r="J7">
        <v>6</v>
      </c>
    </row>
    <row r="8" spans="3:10">
      <c r="C8" t="s">
        <v>177</v>
      </c>
      <c r="D8">
        <v>56</v>
      </c>
      <c r="I8" t="s">
        <v>66</v>
      </c>
      <c r="J8">
        <v>7</v>
      </c>
    </row>
    <row r="9" spans="3:10">
      <c r="C9" t="s">
        <v>4</v>
      </c>
      <c r="D9">
        <v>57</v>
      </c>
      <c r="I9" t="s">
        <v>27</v>
      </c>
      <c r="J9">
        <v>8</v>
      </c>
    </row>
    <row r="10" spans="3:10">
      <c r="C10" t="s">
        <v>6</v>
      </c>
      <c r="D10">
        <v>58</v>
      </c>
      <c r="I10" t="s">
        <v>59</v>
      </c>
      <c r="J10">
        <v>9</v>
      </c>
    </row>
    <row r="11" spans="3:10">
      <c r="C11" t="s">
        <v>133</v>
      </c>
      <c r="D11">
        <v>59</v>
      </c>
      <c r="I11" t="s">
        <v>150</v>
      </c>
      <c r="J11">
        <v>10</v>
      </c>
    </row>
    <row r="12" spans="3:10">
      <c r="C12" t="s">
        <v>56</v>
      </c>
      <c r="D12">
        <v>60</v>
      </c>
      <c r="I12" t="s">
        <v>81</v>
      </c>
      <c r="J12">
        <v>11</v>
      </c>
    </row>
    <row r="13" spans="3:10">
      <c r="C13" t="s">
        <v>77</v>
      </c>
      <c r="D13">
        <v>61</v>
      </c>
      <c r="I13" t="s">
        <v>52</v>
      </c>
      <c r="J13">
        <v>12</v>
      </c>
    </row>
    <row r="14" spans="3:10">
      <c r="C14" t="s">
        <v>19</v>
      </c>
      <c r="D14">
        <v>62</v>
      </c>
      <c r="I14" t="s">
        <v>42</v>
      </c>
      <c r="J14">
        <v>13</v>
      </c>
    </row>
    <row r="15" spans="3:10">
      <c r="C15" t="s">
        <v>174</v>
      </c>
      <c r="D15">
        <v>63</v>
      </c>
      <c r="I15" t="s">
        <v>23</v>
      </c>
      <c r="J15">
        <v>14</v>
      </c>
    </row>
    <row r="16" spans="3:10">
      <c r="C16" t="s">
        <v>10</v>
      </c>
      <c r="D16">
        <v>64</v>
      </c>
      <c r="I16" t="s">
        <v>15</v>
      </c>
      <c r="J16">
        <v>15</v>
      </c>
    </row>
    <row r="17" spans="3:10">
      <c r="C17" t="s">
        <v>8</v>
      </c>
      <c r="D17">
        <v>65</v>
      </c>
      <c r="I17" t="s">
        <v>34</v>
      </c>
      <c r="J17">
        <v>16</v>
      </c>
    </row>
    <row r="18" spans="3:10">
      <c r="C18" t="s">
        <v>105</v>
      </c>
      <c r="D18">
        <v>66</v>
      </c>
      <c r="I18" t="s">
        <v>113</v>
      </c>
      <c r="J18">
        <v>17</v>
      </c>
    </row>
    <row r="19" spans="3:10">
      <c r="C19" t="s">
        <v>2</v>
      </c>
      <c r="D19">
        <v>67</v>
      </c>
      <c r="I19" t="s">
        <v>117</v>
      </c>
      <c r="J19">
        <v>18</v>
      </c>
    </row>
    <row r="20" spans="3:10">
      <c r="C20" t="s">
        <v>170</v>
      </c>
      <c r="D20">
        <v>68</v>
      </c>
      <c r="I20" t="s">
        <v>119</v>
      </c>
      <c r="J20">
        <v>19</v>
      </c>
    </row>
    <row r="21" spans="3:10">
      <c r="C21" t="s">
        <v>75</v>
      </c>
      <c r="D21">
        <v>69</v>
      </c>
      <c r="I21" t="s">
        <v>70</v>
      </c>
      <c r="J21">
        <v>20</v>
      </c>
    </row>
    <row r="22" spans="3:10">
      <c r="C22" t="s">
        <v>107</v>
      </c>
      <c r="D22">
        <v>70</v>
      </c>
      <c r="I22" t="s">
        <v>145</v>
      </c>
      <c r="J22">
        <v>21</v>
      </c>
    </row>
    <row r="23" spans="3:10">
      <c r="C23" t="s">
        <v>184</v>
      </c>
      <c r="D23">
        <v>71</v>
      </c>
      <c r="I23" t="s">
        <v>54</v>
      </c>
      <c r="J23">
        <v>22</v>
      </c>
    </row>
    <row r="24" spans="3:10">
      <c r="C24" t="s">
        <v>180</v>
      </c>
      <c r="D24">
        <v>72</v>
      </c>
      <c r="I24" t="s">
        <v>109</v>
      </c>
      <c r="J24">
        <v>23</v>
      </c>
    </row>
    <row r="25" spans="3:10">
      <c r="C25" t="s">
        <v>179</v>
      </c>
      <c r="D25">
        <v>73</v>
      </c>
      <c r="I25" t="s">
        <v>147</v>
      </c>
      <c r="J25">
        <v>24</v>
      </c>
    </row>
    <row r="26" spans="3:10">
      <c r="C26" t="s">
        <v>108</v>
      </c>
      <c r="D26">
        <v>74</v>
      </c>
      <c r="I26" t="s">
        <v>83</v>
      </c>
      <c r="J26">
        <v>25</v>
      </c>
    </row>
    <row r="27" spans="3:10">
      <c r="C27" t="s">
        <v>156</v>
      </c>
      <c r="D27">
        <v>75</v>
      </c>
      <c r="I27" t="s">
        <v>135</v>
      </c>
      <c r="J27">
        <v>26</v>
      </c>
    </row>
    <row r="28" spans="3:10">
      <c r="C28" t="s">
        <v>154</v>
      </c>
      <c r="D28">
        <v>76</v>
      </c>
      <c r="I28" t="s">
        <v>32</v>
      </c>
      <c r="J28">
        <v>27</v>
      </c>
    </row>
    <row r="29" spans="3:10">
      <c r="C29" t="s">
        <v>123</v>
      </c>
      <c r="D29">
        <v>77</v>
      </c>
      <c r="I29" t="s">
        <v>48</v>
      </c>
      <c r="J29">
        <v>28</v>
      </c>
    </row>
    <row r="30" spans="3:10">
      <c r="C30" t="s">
        <v>139</v>
      </c>
      <c r="D30">
        <v>78</v>
      </c>
      <c r="I30" t="s">
        <v>50</v>
      </c>
      <c r="J30">
        <v>29</v>
      </c>
    </row>
    <row r="31" spans="3:10">
      <c r="C31" t="s">
        <v>141</v>
      </c>
      <c r="D31">
        <v>79</v>
      </c>
      <c r="I31" t="s">
        <v>97</v>
      </c>
      <c r="J31">
        <v>30</v>
      </c>
    </row>
    <row r="32" spans="3:10">
      <c r="C32" t="s">
        <v>158</v>
      </c>
      <c r="D32">
        <v>80</v>
      </c>
      <c r="I32" t="s">
        <v>149</v>
      </c>
      <c r="J32">
        <v>31</v>
      </c>
    </row>
    <row r="33" spans="3:10">
      <c r="C33" t="s">
        <v>143</v>
      </c>
      <c r="D33">
        <v>81</v>
      </c>
      <c r="I33" t="s">
        <v>44</v>
      </c>
      <c r="J33">
        <v>32</v>
      </c>
    </row>
    <row r="34" spans="3:10">
      <c r="C34" t="s">
        <v>137</v>
      </c>
      <c r="D34">
        <v>82</v>
      </c>
      <c r="I34" t="s">
        <v>121</v>
      </c>
      <c r="J34">
        <v>33</v>
      </c>
    </row>
    <row r="35" spans="3:10">
      <c r="C35" t="s">
        <v>182</v>
      </c>
      <c r="D35">
        <v>83</v>
      </c>
      <c r="I35" t="s">
        <v>166</v>
      </c>
      <c r="J35">
        <v>34</v>
      </c>
    </row>
    <row r="36" spans="3:10">
      <c r="C36" t="s">
        <v>162</v>
      </c>
      <c r="D36">
        <v>84</v>
      </c>
      <c r="I36" t="s">
        <v>40</v>
      </c>
      <c r="J36">
        <v>35</v>
      </c>
    </row>
    <row r="37" spans="3:10">
      <c r="C37" t="s">
        <v>160</v>
      </c>
      <c r="D37">
        <v>85</v>
      </c>
      <c r="I37" t="s">
        <v>101</v>
      </c>
      <c r="J37">
        <v>36</v>
      </c>
    </row>
    <row r="38" spans="3:10">
      <c r="C38" t="s">
        <v>103</v>
      </c>
      <c r="D38">
        <v>86</v>
      </c>
      <c r="I38" t="s">
        <v>39</v>
      </c>
      <c r="J38">
        <v>37</v>
      </c>
    </row>
    <row r="39" spans="3:10">
      <c r="C39" t="s">
        <v>172</v>
      </c>
      <c r="D39">
        <v>87</v>
      </c>
      <c r="I39" t="s">
        <v>186</v>
      </c>
      <c r="J39">
        <v>38</v>
      </c>
    </row>
    <row r="40" spans="3:10">
      <c r="C40" t="s">
        <v>17</v>
      </c>
      <c r="D40">
        <v>88</v>
      </c>
      <c r="I40" t="s">
        <v>125</v>
      </c>
      <c r="J40">
        <v>39</v>
      </c>
    </row>
    <row r="41" spans="3:10">
      <c r="C41" t="s">
        <v>188</v>
      </c>
      <c r="D41">
        <v>89</v>
      </c>
      <c r="I41" t="s">
        <v>93</v>
      </c>
      <c r="J41">
        <v>40</v>
      </c>
    </row>
    <row r="42" spans="3:10">
      <c r="C42" t="s">
        <v>131</v>
      </c>
      <c r="D42">
        <v>90</v>
      </c>
      <c r="I42" t="s">
        <v>87</v>
      </c>
      <c r="J42">
        <v>41</v>
      </c>
    </row>
    <row r="43" spans="3:10">
      <c r="C43" t="s">
        <v>99</v>
      </c>
      <c r="D43">
        <v>91</v>
      </c>
      <c r="I43" t="s">
        <v>24</v>
      </c>
      <c r="J43">
        <v>42</v>
      </c>
    </row>
    <row r="44" spans="3:10">
      <c r="C44" t="s">
        <v>68</v>
      </c>
      <c r="D44">
        <v>92</v>
      </c>
      <c r="I44" t="s">
        <v>129</v>
      </c>
      <c r="J44">
        <v>43</v>
      </c>
    </row>
    <row r="45" spans="3:10">
      <c r="C45" t="s">
        <v>31</v>
      </c>
      <c r="D45">
        <v>93</v>
      </c>
      <c r="I45" t="s">
        <v>152</v>
      </c>
      <c r="J45">
        <v>44</v>
      </c>
    </row>
    <row r="46" spans="3:10">
      <c r="C46" t="s">
        <v>168</v>
      </c>
      <c r="D46">
        <v>94</v>
      </c>
      <c r="I46" t="s">
        <v>96</v>
      </c>
      <c r="J46">
        <v>45</v>
      </c>
    </row>
    <row r="47" spans="3:10">
      <c r="C47" t="s">
        <v>164</v>
      </c>
      <c r="D47">
        <v>95</v>
      </c>
      <c r="I47" t="s">
        <v>127</v>
      </c>
      <c r="J47">
        <v>46</v>
      </c>
    </row>
    <row r="48" spans="3:10">
      <c r="C48" t="s">
        <v>72</v>
      </c>
      <c r="D48">
        <v>96</v>
      </c>
      <c r="I48" t="s">
        <v>111</v>
      </c>
      <c r="J48">
        <v>47</v>
      </c>
    </row>
    <row r="49" spans="3:10">
      <c r="C49" t="s">
        <v>74</v>
      </c>
      <c r="D49">
        <v>97</v>
      </c>
      <c r="I49" t="s">
        <v>64</v>
      </c>
      <c r="J49">
        <v>48</v>
      </c>
    </row>
    <row r="50" spans="3:10">
      <c r="C50" t="s">
        <v>60</v>
      </c>
      <c r="D50">
        <v>98</v>
      </c>
      <c r="I50" t="s">
        <v>28</v>
      </c>
      <c r="J50">
        <v>49</v>
      </c>
    </row>
    <row r="51" spans="3:10">
      <c r="I51" t="s">
        <v>484</v>
      </c>
      <c r="J51">
        <v>50</v>
      </c>
    </row>
    <row r="52" spans="3:10">
      <c r="I52" t="s">
        <v>485</v>
      </c>
      <c r="J52">
        <v>51</v>
      </c>
    </row>
    <row r="53" spans="3:10">
      <c r="I53" t="s">
        <v>90</v>
      </c>
      <c r="J53">
        <v>52</v>
      </c>
    </row>
    <row r="54" spans="3:10">
      <c r="I54" t="s">
        <v>79</v>
      </c>
      <c r="J54">
        <v>53</v>
      </c>
    </row>
    <row r="55" spans="3:10">
      <c r="I55" t="s">
        <v>63</v>
      </c>
      <c r="J55">
        <v>54</v>
      </c>
    </row>
    <row r="56" spans="3:10">
      <c r="I56" t="s">
        <v>486</v>
      </c>
      <c r="J56">
        <v>55</v>
      </c>
    </row>
    <row r="57" spans="3:10">
      <c r="I57" t="s">
        <v>487</v>
      </c>
      <c r="J57">
        <v>56</v>
      </c>
    </row>
    <row r="58" spans="3:10">
      <c r="I58" t="s">
        <v>488</v>
      </c>
      <c r="J58">
        <v>57</v>
      </c>
    </row>
    <row r="59" spans="3:10">
      <c r="I59" t="s">
        <v>4</v>
      </c>
      <c r="J59">
        <v>58</v>
      </c>
    </row>
    <row r="60" spans="3:10">
      <c r="I60" t="s">
        <v>6</v>
      </c>
      <c r="J60">
        <v>59</v>
      </c>
    </row>
    <row r="61" spans="3:10">
      <c r="I61" t="s">
        <v>133</v>
      </c>
      <c r="J61">
        <v>60</v>
      </c>
    </row>
    <row r="62" spans="3:10">
      <c r="I62" t="s">
        <v>56</v>
      </c>
      <c r="J62">
        <v>61</v>
      </c>
    </row>
    <row r="63" spans="3:10">
      <c r="I63" t="s">
        <v>77</v>
      </c>
      <c r="J63">
        <v>62</v>
      </c>
    </row>
    <row r="64" spans="3:10">
      <c r="I64" t="s">
        <v>19</v>
      </c>
      <c r="J64">
        <v>63</v>
      </c>
    </row>
    <row r="65" spans="9:10">
      <c r="I65" t="s">
        <v>174</v>
      </c>
      <c r="J65">
        <v>64</v>
      </c>
    </row>
    <row r="66" spans="9:10">
      <c r="I66" t="s">
        <v>105</v>
      </c>
      <c r="J66">
        <v>65</v>
      </c>
    </row>
    <row r="67" spans="9:10">
      <c r="I67" t="s">
        <v>2</v>
      </c>
      <c r="J67">
        <v>66</v>
      </c>
    </row>
    <row r="68" spans="9:10">
      <c r="I68" t="s">
        <v>170</v>
      </c>
      <c r="J68">
        <v>67</v>
      </c>
    </row>
    <row r="69" spans="9:10">
      <c r="I69" t="s">
        <v>8</v>
      </c>
      <c r="J69">
        <v>68</v>
      </c>
    </row>
    <row r="70" spans="9:10">
      <c r="I70" t="s">
        <v>75</v>
      </c>
      <c r="J70">
        <v>69</v>
      </c>
    </row>
    <row r="71" spans="9:10">
      <c r="I71" t="s">
        <v>107</v>
      </c>
      <c r="J71">
        <v>70</v>
      </c>
    </row>
    <row r="72" spans="9:10">
      <c r="I72" t="s">
        <v>184</v>
      </c>
      <c r="J72">
        <v>71</v>
      </c>
    </row>
    <row r="73" spans="9:10">
      <c r="I73" t="s">
        <v>180</v>
      </c>
      <c r="J73">
        <v>72</v>
      </c>
    </row>
    <row r="74" spans="9:10">
      <c r="I74" t="s">
        <v>179</v>
      </c>
      <c r="J74">
        <v>73</v>
      </c>
    </row>
    <row r="75" spans="9:10">
      <c r="I75" t="s">
        <v>108</v>
      </c>
      <c r="J75">
        <v>74</v>
      </c>
    </row>
    <row r="76" spans="9:10">
      <c r="I76" t="s">
        <v>156</v>
      </c>
      <c r="J76">
        <v>75</v>
      </c>
    </row>
    <row r="77" spans="9:10">
      <c r="I77" t="s">
        <v>154</v>
      </c>
      <c r="J77">
        <v>76</v>
      </c>
    </row>
    <row r="78" spans="9:10">
      <c r="I78" t="s">
        <v>123</v>
      </c>
      <c r="J78">
        <v>77</v>
      </c>
    </row>
    <row r="79" spans="9:10">
      <c r="I79" t="s">
        <v>139</v>
      </c>
      <c r="J79">
        <v>78</v>
      </c>
    </row>
    <row r="80" spans="9:10">
      <c r="I80" t="s">
        <v>141</v>
      </c>
      <c r="J80">
        <v>79</v>
      </c>
    </row>
    <row r="81" spans="9:10">
      <c r="I81" t="s">
        <v>158</v>
      </c>
      <c r="J81">
        <v>80</v>
      </c>
    </row>
    <row r="82" spans="9:10">
      <c r="I82" t="s">
        <v>143</v>
      </c>
      <c r="J82">
        <v>81</v>
      </c>
    </row>
    <row r="83" spans="9:10">
      <c r="I83" t="s">
        <v>137</v>
      </c>
      <c r="J83">
        <v>82</v>
      </c>
    </row>
    <row r="84" spans="9:10">
      <c r="I84" t="s">
        <v>182</v>
      </c>
      <c r="J84">
        <v>83</v>
      </c>
    </row>
    <row r="85" spans="9:10">
      <c r="I85" t="s">
        <v>162</v>
      </c>
      <c r="J85">
        <v>84</v>
      </c>
    </row>
    <row r="86" spans="9:10">
      <c r="I86" t="s">
        <v>160</v>
      </c>
      <c r="J86">
        <v>85</v>
      </c>
    </row>
    <row r="87" spans="9:10">
      <c r="I87" t="s">
        <v>103</v>
      </c>
      <c r="J87">
        <v>86</v>
      </c>
    </row>
    <row r="88" spans="9:10">
      <c r="I88" t="s">
        <v>172</v>
      </c>
      <c r="J88">
        <v>87</v>
      </c>
    </row>
    <row r="89" spans="9:10">
      <c r="I89" t="s">
        <v>17</v>
      </c>
      <c r="J89">
        <v>88</v>
      </c>
    </row>
    <row r="90" spans="9:10">
      <c r="I90" t="s">
        <v>188</v>
      </c>
      <c r="J90">
        <v>89</v>
      </c>
    </row>
    <row r="91" spans="9:10">
      <c r="I91" t="s">
        <v>131</v>
      </c>
      <c r="J91">
        <v>90</v>
      </c>
    </row>
    <row r="92" spans="9:10">
      <c r="I92" t="s">
        <v>99</v>
      </c>
      <c r="J92">
        <v>91</v>
      </c>
    </row>
    <row r="93" spans="9:10">
      <c r="I93" t="s">
        <v>68</v>
      </c>
      <c r="J93">
        <v>92</v>
      </c>
    </row>
    <row r="94" spans="9:10">
      <c r="I94" t="s">
        <v>31</v>
      </c>
      <c r="J94">
        <v>93</v>
      </c>
    </row>
    <row r="95" spans="9:10">
      <c r="I95" t="s">
        <v>168</v>
      </c>
      <c r="J95">
        <v>94</v>
      </c>
    </row>
    <row r="96" spans="9:10">
      <c r="I96" t="s">
        <v>164</v>
      </c>
      <c r="J96">
        <v>95</v>
      </c>
    </row>
    <row r="97" spans="9:10">
      <c r="I97" t="s">
        <v>72</v>
      </c>
      <c r="J97">
        <v>96</v>
      </c>
    </row>
    <row r="98" spans="9:10">
      <c r="I98" t="s">
        <v>74</v>
      </c>
      <c r="J98">
        <v>97</v>
      </c>
    </row>
    <row r="99" spans="9:10">
      <c r="I99" t="s">
        <v>60</v>
      </c>
      <c r="J99">
        <v>98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상품구성</vt:lpstr>
      <vt:lpstr>원본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</dc:creator>
  <cp:lastModifiedBy>childy_9</cp:lastModifiedBy>
  <dcterms:created xsi:type="dcterms:W3CDTF">2026-08-20T07:12:44Z</dcterms:created>
  <dcterms:modified xsi:type="dcterms:W3CDTF">2026-08-27T08:13:34Z</dcterms:modified>
</cp:coreProperties>
</file>